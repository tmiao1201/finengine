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Capex_Dep" sheetId="3" state="visible" r:id="rId3"/>
    <sheet name="Cloud_IS" sheetId="4" state="visible" r:id="rId4"/>
    <sheet name="Cloud_BS_CF" sheetId="5" state="visible" r:id="rId5"/>
    <sheet name="Ind_IS" sheetId="6" state="visible" r:id="rId6"/>
    <sheet name="Ind_BS_CF" sheetId="7" state="visible" r:id="rId7"/>
    <sheet name="Toc_IS" sheetId="8" state="visible" r:id="rId8"/>
    <sheet name="Toc_BS_CF" sheetId="9" state="visible" r:id="rId9"/>
    <sheet name="HoldCo_IS" sheetId="10" state="visible" r:id="rId10"/>
    <sheet name="HoldCo_BS" sheetId="11" state="visible" r:id="rId11"/>
    <sheet name="HoldCo_CF" sheetId="12" state="visible" r:id="rId12"/>
    <sheet name="IC_Register" sheetId="13" state="visible" r:id="rId13"/>
    <sheet name="IC_Recon" sheetId="14" state="visible" r:id="rId14"/>
    <sheet name="Eliminations" sheetId="15" state="visible" r:id="rId15"/>
    <sheet name="Consol_IS" sheetId="16" state="visible" r:id="rId16"/>
    <sheet name="Consol_BS" sheetId="17" state="visible" r:id="rId17"/>
    <sheet name="Consol_CF" sheetId="18" state="visible" r:id="rId18"/>
    <sheet name="Che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&quot;A&quot;"/>
    <numFmt numFmtId="165" formatCode="0&quot;E&quot;"/>
    <numFmt numFmtId="166" formatCode="0.0%"/>
    <numFmt numFmtId="167" formatCode="#,##0;[Red](#,##0)"/>
    <numFmt numFmtId="168" formatCode="0.0"/>
    <numFmt numFmtId="169" formatCode="0.0&quot;x&quot;"/>
    <numFmt numFmtId="170" formatCode="0&quot;年&quot;"/>
    <numFmt numFmtId="171" formatCode="#,##0.0;[Red](#,##0.0)"/>
  </numFmts>
  <fonts count="11">
    <font>
      <name val="Calibri"/>
      <family val="2"/>
      <color theme="1"/>
      <sz val="11"/>
      <scheme val="minor"/>
    </font>
    <font>
      <name val="等线"/>
      <b val="1"/>
      <sz val="14"/>
    </font>
    <font>
      <name val="等线"/>
      <color rgb="00808080"/>
      <sz val="9"/>
    </font>
    <font>
      <name val="等线"/>
      <b val="1"/>
    </font>
    <font>
      <name val="等线"/>
      <b val="1"/>
      <color rgb="00FFFFFF"/>
    </font>
    <font>
      <name val="等线"/>
      <color rgb="00000000"/>
    </font>
    <font>
      <name val="等线"/>
      <color rgb="000000FF"/>
    </font>
    <font>
      <name val="等线"/>
      <color rgb="00007000"/>
    </font>
    <font>
      <name val="等线"/>
      <b val="1"/>
      <sz val="12"/>
    </font>
    <font>
      <name val="等线"/>
      <b val="1"/>
      <sz val="20"/>
    </font>
    <font>
      <name val="等线"/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top style="thin">
        <color rgb="00B0B0B0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7" fontId="5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3" fillId="3" borderId="0" pivotButton="0" quotePrefix="0" xfId="0"/>
    <xf numFmtId="0" fontId="0" fillId="3" borderId="0" pivotButton="0" quotePrefix="0" xfId="0"/>
    <xf numFmtId="166" fontId="6" fillId="0" borderId="0" pivotButton="0" quotePrefix="0" xfId="0"/>
    <xf numFmtId="3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0" fillId="0" borderId="0" pivotButton="0" quotePrefix="0" xfId="0"/>
    <xf numFmtId="167" fontId="5" fillId="0" borderId="1" pivotButton="0" quotePrefix="0" xfId="0"/>
    <xf numFmtId="167" fontId="0" fillId="0" borderId="1" pivotButton="0" quotePrefix="0" xfId="0"/>
    <xf numFmtId="171" fontId="7" fillId="0" borderId="0" pivotButton="0" quotePrefix="0" xfId="0"/>
    <xf numFmtId="0" fontId="3" fillId="4" borderId="0" pivotButton="0" quotePrefix="0" xfId="0"/>
    <xf numFmtId="167" fontId="5" fillId="4" borderId="1" pivotButton="0" quotePrefix="0" xfId="0"/>
    <xf numFmtId="171" fontId="5" fillId="0" borderId="0" pivotButton="0" quotePrefix="0" xfId="0"/>
    <xf numFmtId="0" fontId="3" fillId="5" borderId="0" pivotButton="0" quotePrefix="0" xfId="0"/>
    <xf numFmtId="167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ssumptions'!A1" TargetMode="External" Id="rId1" /><Relationship Type="http://schemas.openxmlformats.org/officeDocument/2006/relationships/hyperlink" Target="#'Capex_Dep'!A1" TargetMode="External" Id="rId2" /><Relationship Type="http://schemas.openxmlformats.org/officeDocument/2006/relationships/hyperlink" Target="#'Cloud_IS'!A1" TargetMode="External" Id="rId3" /><Relationship Type="http://schemas.openxmlformats.org/officeDocument/2006/relationships/hyperlink" Target="#'Ind_IS'!A1" TargetMode="External" Id="rId4" /><Relationship Type="http://schemas.openxmlformats.org/officeDocument/2006/relationships/hyperlink" Target="#'Toc_IS'!A1" TargetMode="External" Id="rId5" /><Relationship Type="http://schemas.openxmlformats.org/officeDocument/2006/relationships/hyperlink" Target="#'HoldCo_IS'!A1" TargetMode="External" Id="rId6" /><Relationship Type="http://schemas.openxmlformats.org/officeDocument/2006/relationships/hyperlink" Target="#'IC_Register'!A1" TargetMode="External" Id="rId7" /><Relationship Type="http://schemas.openxmlformats.org/officeDocument/2006/relationships/hyperlink" Target="#'IC_Recon'!A1" TargetMode="External" Id="rId8" /><Relationship Type="http://schemas.openxmlformats.org/officeDocument/2006/relationships/hyperlink" Target="#'Eliminations'!A1" TargetMode="External" Id="rId9" /><Relationship Type="http://schemas.openxmlformats.org/officeDocument/2006/relationships/hyperlink" Target="#'Consol_IS'!A1" TargetMode="External" Id="rId10" /><Relationship Type="http://schemas.openxmlformats.org/officeDocument/2006/relationships/hyperlink" Target="#'FactTable'!A1" TargetMode="External" Id="rId11" /><Relationship Type="http://schemas.openxmlformats.org/officeDocument/2006/relationships/hyperlink" Target="#'UE'!A1" TargetMode="External" Id="rId12" /><Relationship Type="http://schemas.openxmlformats.org/officeDocument/2006/relationships/hyperlink" Target="#'ProjectEval'!A1" TargetMode="External" Id="rId13" /><Relationship Type="http://schemas.openxmlformats.org/officeDocument/2006/relationships/hyperlink" Target="#'Checks'!A1" TargetMode="External" Id="rId14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智擎集团 · 集团财务分析模型</t>
        </is>
      </c>
    </row>
    <row r="2">
      <c r="A2" s="2" t="inlineStr">
        <is>
          <t>虚构大模型集团（参考智谱商业模式）| Python+openpyxl 全公式生成 | 单位：万元</t>
        </is>
      </c>
    </row>
    <row r="4">
      <c r="A4" s="3" t="inlineStr">
        <is>
          <t>导航</t>
        </is>
      </c>
      <c r="B4" s="3" t="inlineStr">
        <is>
          <t>说明</t>
        </is>
      </c>
    </row>
    <row r="5">
      <c r="A5" s="4" t="inlineStr">
        <is>
          <t>Assumptions</t>
        </is>
      </c>
      <c r="B5" s="5" t="inlineStr">
        <is>
          <t>核心假设——全部蓝字输入，改动全模型联动</t>
        </is>
      </c>
    </row>
    <row r="6">
      <c r="A6" s="4" t="inlineStr">
        <is>
          <t>Capex_Dep</t>
        </is>
      </c>
      <c r="B6" s="5" t="inlineStr">
        <is>
          <t>GPU 资本开支与折旧引擎（批次法）</t>
        </is>
      </c>
    </row>
    <row r="7">
      <c r="A7" s="4" t="inlineStr">
        <is>
          <t>Cloud_IS</t>
        </is>
      </c>
      <c r="B7" s="5" t="inlineStr">
        <is>
          <t>智擎云 · MaaS（单体全量）</t>
        </is>
      </c>
    </row>
    <row r="8">
      <c r="A8" s="4" t="inlineStr">
        <is>
          <t>Ind_IS</t>
        </is>
      </c>
      <c r="B8" s="5" t="inlineStr">
        <is>
          <t>智擎行业 · 私有化+解决方案</t>
        </is>
      </c>
    </row>
    <row r="9">
      <c r="A9" s="4" t="inlineStr">
        <is>
          <t>Toc_IS</t>
        </is>
      </c>
      <c r="B9" s="5" t="inlineStr">
        <is>
          <t>智擎互联 · C端（母持 80%）</t>
        </is>
      </c>
    </row>
    <row r="10">
      <c r="A10" s="4" t="inlineStr">
        <is>
          <t>HoldCo_IS</t>
        </is>
      </c>
      <c r="B10" s="5" t="inlineStr">
        <is>
          <t>智擎研究院 · 全量三表（关联收入方）</t>
        </is>
      </c>
    </row>
    <row r="11">
      <c r="A11" s="4" t="inlineStr">
        <is>
          <t>IC_Register</t>
        </is>
      </c>
      <c r="B11" s="5" t="inlineStr">
        <is>
          <t>内部交易登记簿（T1/T2/T3）</t>
        </is>
      </c>
    </row>
    <row r="12">
      <c r="A12" s="4" t="inlineStr">
        <is>
          <t>IC_Recon</t>
        </is>
      </c>
      <c r="B12" s="5" t="inlineStr">
        <is>
          <t>关联方对账矩阵 + cut-off 在途调节</t>
        </is>
      </c>
    </row>
    <row r="13">
      <c r="A13" s="4" t="inlineStr">
        <is>
          <t>Eliminations</t>
        </is>
      </c>
      <c r="B13" s="5" t="inlineStr">
        <is>
          <t>合并抵消分录底稿（E0-E3）</t>
        </is>
      </c>
    </row>
    <row r="14">
      <c r="A14" s="4" t="inlineStr">
        <is>
          <t>Consol_IS</t>
        </is>
      </c>
      <c r="B14" s="5" t="inlineStr">
        <is>
          <t>合并三表（Σ单体−抵消）</t>
        </is>
      </c>
    </row>
    <row r="15">
      <c r="A15" s="4" t="inlineStr">
        <is>
          <t>FactTable</t>
        </is>
      </c>
      <c r="B15" s="5" t="inlineStr">
        <is>
          <t>维度数据仓 + 四下拉自选切换看板</t>
        </is>
      </c>
    </row>
    <row r="16">
      <c r="A16" s="4" t="inlineStr">
        <is>
          <t>UE</t>
        </is>
      </c>
      <c r="B16" s="5" t="inlineStr">
        <is>
          <t>单位经济：MaaS 单token/单客户 · C端单用户</t>
        </is>
      </c>
    </row>
    <row r="17">
      <c r="A17" s="4" t="inlineStr">
        <is>
          <t>ProjectEval</t>
        </is>
      </c>
      <c r="B17" s="5" t="inlineStr">
        <is>
          <t>私有化项目评估：NPV/IRR + 敏感性</t>
        </is>
      </c>
    </row>
    <row r="18">
      <c r="A18" s="4" t="inlineStr">
        <is>
          <t>Checks</t>
        </is>
      </c>
      <c r="B18" s="5" t="inlineStr">
        <is>
          <t>勾稽自检面板：8 组断言全绿才可信</t>
        </is>
      </c>
    </row>
    <row r="20">
      <c r="A20" s="3" t="inlineStr">
        <is>
          <t>集团速览（合并口径）</t>
        </is>
      </c>
      <c r="B20" s="6" t="n">
        <v>2023</v>
      </c>
      <c r="C20" s="6" t="n">
        <v>2024</v>
      </c>
      <c r="D20" s="6" t="n">
        <v>2025</v>
      </c>
      <c r="E20" s="7" t="n">
        <v>2026</v>
      </c>
      <c r="F20" s="7" t="n">
        <v>2027</v>
      </c>
    </row>
    <row r="21">
      <c r="A21" s="5" t="inlineStr">
        <is>
          <t>营业收入</t>
        </is>
      </c>
      <c r="B21" s="8">
        <f>Consol_IS!C6</f>
        <v/>
      </c>
      <c r="C21" s="8">
        <f>Consol_IS!D6</f>
        <v/>
      </c>
      <c r="D21" s="8">
        <f>Consol_IS!E6</f>
        <v/>
      </c>
      <c r="E21" s="8">
        <f>Consol_IS!F6</f>
        <v/>
      </c>
      <c r="F21" s="8">
        <f>Consol_IS!G6</f>
        <v/>
      </c>
    </row>
    <row r="22">
      <c r="A22" s="5" t="inlineStr">
        <is>
          <t>净利润</t>
        </is>
      </c>
      <c r="B22" s="8">
        <f>Consol_IS!C16</f>
        <v/>
      </c>
      <c r="C22" s="8">
        <f>Consol_IS!D16</f>
        <v/>
      </c>
      <c r="D22" s="8">
        <f>Consol_IS!E16</f>
        <v/>
      </c>
      <c r="E22" s="8">
        <f>Consol_IS!F16</f>
        <v/>
      </c>
      <c r="F22" s="8">
        <f>Consol_IS!G16</f>
        <v/>
      </c>
    </row>
    <row r="23">
      <c r="A23" s="5" t="inlineStr">
        <is>
          <t>归母净利润</t>
        </is>
      </c>
      <c r="B23" s="8">
        <f>Consol_IS!C18</f>
        <v/>
      </c>
      <c r="C23" s="8">
        <f>Consol_IS!D18</f>
        <v/>
      </c>
      <c r="D23" s="8">
        <f>Consol_IS!E18</f>
        <v/>
      </c>
      <c r="E23" s="8">
        <f>Consol_IS!F18</f>
        <v/>
      </c>
      <c r="F23" s="8">
        <f>Consol_IS!G18</f>
        <v/>
      </c>
    </row>
    <row r="24">
      <c r="A24" s="5" t="inlineStr">
        <is>
          <t>期末现金</t>
        </is>
      </c>
      <c r="B24" s="8">
        <f>Consol_BS!C4</f>
        <v/>
      </c>
      <c r="C24" s="8">
        <f>Consol_BS!D4</f>
        <v/>
      </c>
      <c r="D24" s="8">
        <f>Consol_BS!E4</f>
        <v/>
      </c>
      <c r="E24" s="8">
        <f>Consol_BS!F4</f>
        <v/>
      </c>
      <c r="F24" s="8">
        <f>Consol_BS!G4</f>
        <v/>
      </c>
    </row>
    <row r="25">
      <c r="A25" s="5" t="inlineStr">
        <is>
          <t>GPU 净值</t>
        </is>
      </c>
      <c r="B25" s="8">
        <f>Consol_BS!C6</f>
        <v/>
      </c>
      <c r="C25" s="8">
        <f>Consol_BS!D6</f>
        <v/>
      </c>
      <c r="D25" s="8">
        <f>Consol_BS!E6</f>
        <v/>
      </c>
      <c r="E25" s="8">
        <f>Consol_BS!F6</f>
        <v/>
      </c>
      <c r="F25" s="8">
        <f>Consol_BS!G6</f>
        <v/>
      </c>
    </row>
    <row r="27">
      <c r="A27" s="3" t="inlineStr">
        <is>
          <t>勾稽总检灯 →</t>
        </is>
      </c>
      <c r="B27" s="9">
        <f>IF(Checks!C34="","",Checks!C34)</f>
        <v/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0C0"/>
    <outlinePr summaryBelow="1" summaryRight="1"/>
    <pageSetUpPr/>
  </sheetPr>
  <dimension ref="A1:G7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核心假设 Assumptions</t>
        </is>
      </c>
    </row>
    <row r="2">
      <c r="A2" s="2" t="inlineStr">
        <is>
          <t>蓝字=可调输入 | 单位：万元（另注除外）| 改动全模型联动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集团共用 ──</t>
        </is>
      </c>
      <c r="B4" s="14" t="n"/>
      <c r="C4" s="14" t="n"/>
      <c r="D4" s="14" t="n"/>
      <c r="E4" s="14" t="n"/>
      <c r="F4" s="14" t="n"/>
      <c r="G4" s="14" t="n"/>
    </row>
    <row r="5">
      <c r="A5" s="5" t="inlineStr">
        <is>
          <t>所得税率（高新15%）</t>
        </is>
      </c>
      <c r="C5" s="15" t="n">
        <v>0.15</v>
      </c>
      <c r="D5" s="15" t="n">
        <v>0.15</v>
      </c>
      <c r="E5" s="15" t="n">
        <v>0.15</v>
      </c>
      <c r="F5" s="15" t="n">
        <v>0.15</v>
      </c>
      <c r="G5" s="15" t="n">
        <v>0.15</v>
      </c>
    </row>
    <row r="6">
      <c r="A6" s="5" t="inlineStr">
        <is>
          <t>应收账期（天）</t>
        </is>
      </c>
      <c r="C6" s="16" t="n">
        <v>60</v>
      </c>
      <c r="D6" s="16" t="n">
        <v>60</v>
      </c>
      <c r="E6" s="16" t="n">
        <v>60</v>
      </c>
      <c r="F6" s="16" t="n">
        <v>60</v>
      </c>
      <c r="G6" s="16" t="n">
        <v>60</v>
      </c>
    </row>
    <row r="7">
      <c r="A7" s="5" t="inlineStr">
        <is>
          <t>应付账期（天）</t>
        </is>
      </c>
      <c r="C7" s="16" t="n">
        <v>45</v>
      </c>
      <c r="D7" s="16" t="n">
        <v>45</v>
      </c>
      <c r="E7" s="16" t="n">
        <v>45</v>
      </c>
      <c r="F7" s="16" t="n">
        <v>45</v>
      </c>
      <c r="G7" s="16" t="n">
        <v>45</v>
      </c>
    </row>
    <row r="8">
      <c r="A8" s="5" t="inlineStr">
        <is>
          <t>内部往来账期（天）</t>
        </is>
      </c>
      <c r="C8" s="16" t="n">
        <v>60</v>
      </c>
      <c r="D8" s="16" t="n">
        <v>60</v>
      </c>
      <c r="E8" s="16" t="n">
        <v>60</v>
      </c>
      <c r="F8" s="16" t="n">
        <v>60</v>
      </c>
      <c r="G8" s="16" t="n">
        <v>60</v>
      </c>
    </row>
    <row r="9">
      <c r="A9" s="5" t="inlineStr">
        <is>
          <t>WACC（项目评估）</t>
        </is>
      </c>
      <c r="C9" s="15" t="n">
        <v>0.1</v>
      </c>
      <c r="D9" s="15" t="n">
        <v>0.1</v>
      </c>
      <c r="E9" s="15" t="n">
        <v>0.1</v>
      </c>
      <c r="F9" s="15" t="n">
        <v>0.1</v>
      </c>
      <c r="G9" s="15" t="n">
        <v>0.1</v>
      </c>
    </row>
    <row r="10">
      <c r="A10" s="13" t="inlineStr">
        <is>
          <t>── 智擎云 · MaaS ──</t>
        </is>
      </c>
      <c r="B10" s="14" t="n"/>
      <c r="C10" s="14" t="n"/>
      <c r="D10" s="14" t="n"/>
      <c r="E10" s="14" t="n"/>
      <c r="F10" s="14" t="n"/>
      <c r="G10" s="14" t="n"/>
    </row>
    <row r="11">
      <c r="A11" s="5" t="inlineStr">
        <is>
          <t>日均 token 消耗（B/day）</t>
        </is>
      </c>
      <c r="B11" s="2" t="inlineStr">
        <is>
          <t>智谱 bigmodel 模式</t>
        </is>
      </c>
      <c r="C11" s="16" t="n">
        <v>30</v>
      </c>
      <c r="D11" s="16" t="n">
        <v>200</v>
      </c>
      <c r="E11" s="16" t="n">
        <v>450</v>
      </c>
      <c r="F11" s="16" t="n">
        <v>650</v>
      </c>
      <c r="G11" s="16" t="n">
        <v>850</v>
      </c>
    </row>
    <row r="12">
      <c r="A12" s="5" t="inlineStr">
        <is>
          <t>综合单价（元/M tokens）</t>
        </is>
      </c>
      <c r="B12" s="2" t="inlineStr">
        <is>
          <t>混合计价</t>
        </is>
      </c>
      <c r="C12" s="17" t="n">
        <v>5.5</v>
      </c>
      <c r="D12" s="17" t="n">
        <v>5</v>
      </c>
      <c r="E12" s="17" t="n">
        <v>4.8</v>
      </c>
      <c r="F12" s="17" t="n">
        <v>4.6</v>
      </c>
      <c r="G12" s="17" t="n">
        <v>4.5</v>
      </c>
    </row>
    <row r="13">
      <c r="A13" s="5" t="inlineStr">
        <is>
          <t>推理单位成本（元/M tokens）</t>
        </is>
      </c>
      <c r="B13" s="2" t="inlineStr">
        <is>
          <t>自持+外租混合</t>
        </is>
      </c>
      <c r="C13" s="17" t="n">
        <v>2.5</v>
      </c>
      <c r="D13" s="17" t="n">
        <v>2.35</v>
      </c>
      <c r="E13" s="17" t="n">
        <v>2.15</v>
      </c>
      <c r="F13" s="17" t="n">
        <v>1.72</v>
      </c>
      <c r="G13" s="17" t="n">
        <v>1.68</v>
      </c>
    </row>
    <row r="14">
      <c r="A14" s="5" t="inlineStr">
        <is>
          <t>带宽机房费用</t>
        </is>
      </c>
      <c r="C14" s="18" t="n">
        <v>300</v>
      </c>
      <c r="D14" s="18" t="n">
        <v>700</v>
      </c>
      <c r="E14" s="18" t="n">
        <v>1300</v>
      </c>
      <c r="F14" s="18" t="n">
        <v>2200</v>
      </c>
      <c r="G14" s="18" t="n">
        <v>4000</v>
      </c>
    </row>
    <row r="15">
      <c r="A15" s="5" t="inlineStr">
        <is>
          <t>研发编制（人）</t>
        </is>
      </c>
      <c r="C15" s="16" t="n">
        <v>150</v>
      </c>
      <c r="D15" s="16" t="n">
        <v>220</v>
      </c>
      <c r="E15" s="16" t="n">
        <v>320</v>
      </c>
      <c r="F15" s="16" t="n">
        <v>400</v>
      </c>
      <c r="G15" s="16" t="n">
        <v>450</v>
      </c>
    </row>
    <row r="16">
      <c r="A16" s="5" t="inlineStr">
        <is>
          <t>销售编制（人）</t>
        </is>
      </c>
      <c r="C16" s="16" t="n">
        <v>30</v>
      </c>
      <c r="D16" s="16" t="n">
        <v>55</v>
      </c>
      <c r="E16" s="16" t="n">
        <v>85</v>
      </c>
      <c r="F16" s="16" t="n">
        <v>110</v>
      </c>
      <c r="G16" s="16" t="n">
        <v>130</v>
      </c>
    </row>
    <row r="17">
      <c r="A17" s="5" t="inlineStr">
        <is>
          <t>管理编制（人）</t>
        </is>
      </c>
      <c r="C17" s="16" t="n">
        <v>20</v>
      </c>
      <c r="D17" s="16" t="n">
        <v>30</v>
      </c>
      <c r="E17" s="16" t="n">
        <v>40</v>
      </c>
      <c r="F17" s="16" t="n">
        <v>50</v>
      </c>
      <c r="G17" s="16" t="n">
        <v>55</v>
      </c>
    </row>
    <row r="18">
      <c r="A18" s="5" t="inlineStr">
        <is>
          <t>付费客户数（家）</t>
        </is>
      </c>
      <c r="B18" s="2" t="inlineStr">
        <is>
          <t>UE 用</t>
        </is>
      </c>
      <c r="C18" s="16" t="n">
        <v>800</v>
      </c>
      <c r="D18" s="16" t="n">
        <v>2200</v>
      </c>
      <c r="E18" s="16" t="n">
        <v>4500</v>
      </c>
      <c r="F18" s="16" t="n">
        <v>7000</v>
      </c>
      <c r="G18" s="16" t="n">
        <v>10000</v>
      </c>
    </row>
    <row r="19">
      <c r="A19" s="5" t="inlineStr">
        <is>
          <t>月流失率</t>
        </is>
      </c>
      <c r="B19" s="2" t="inlineStr">
        <is>
          <t>UE 用</t>
        </is>
      </c>
      <c r="C19" s="15" t="n">
        <v>0.012</v>
      </c>
      <c r="D19" s="15" t="n">
        <v>0.012</v>
      </c>
      <c r="E19" s="15" t="n">
        <v>0.012</v>
      </c>
      <c r="F19" s="15" t="n">
        <v>0.012</v>
      </c>
      <c r="G19" s="15" t="n">
        <v>0.012</v>
      </c>
    </row>
    <row r="20">
      <c r="A20" s="13" t="inlineStr">
        <is>
          <t>── 智擎行业 · 私有化+解决方案 ──</t>
        </is>
      </c>
      <c r="B20" s="14" t="n"/>
      <c r="C20" s="14" t="n"/>
      <c r="D20" s="14" t="n"/>
      <c r="E20" s="14" t="n"/>
      <c r="F20" s="14" t="n"/>
      <c r="G20" s="14" t="n"/>
    </row>
    <row r="21">
      <c r="A21" s="5" t="inlineStr">
        <is>
          <t>私有化项目数（个）</t>
        </is>
      </c>
      <c r="C21" s="16" t="n">
        <v>8</v>
      </c>
      <c r="D21" s="16" t="n">
        <v>14</v>
      </c>
      <c r="E21" s="16" t="n">
        <v>22</v>
      </c>
      <c r="F21" s="16" t="n">
        <v>32</v>
      </c>
      <c r="G21" s="16" t="n">
        <v>40</v>
      </c>
    </row>
    <row r="22">
      <c r="A22" s="5" t="inlineStr">
        <is>
          <t>平均合同额</t>
        </is>
      </c>
      <c r="C22" s="18" t="n">
        <v>1000</v>
      </c>
      <c r="D22" s="18" t="n">
        <v>1100</v>
      </c>
      <c r="E22" s="18" t="n">
        <v>1250</v>
      </c>
      <c r="F22" s="18" t="n">
        <v>1400</v>
      </c>
      <c r="G22" s="18" t="n">
        <v>1500</v>
      </c>
    </row>
    <row r="23">
      <c r="A23" s="5" t="inlineStr">
        <is>
          <t>解决方案签约客户（累计）</t>
        </is>
      </c>
      <c r="B23" s="2" t="inlineStr">
        <is>
          <t>订阅/运维</t>
        </is>
      </c>
      <c r="C23" s="16" t="n">
        <v>12</v>
      </c>
      <c r="D23" s="16" t="n">
        <v>30</v>
      </c>
      <c r="E23" s="16" t="n">
        <v>62</v>
      </c>
      <c r="F23" s="16" t="n">
        <v>105</v>
      </c>
      <c r="G23" s="16" t="n">
        <v>168</v>
      </c>
    </row>
    <row r="24">
      <c r="A24" s="5" t="inlineStr">
        <is>
          <t>解决方案年费</t>
        </is>
      </c>
      <c r="C24" s="18" t="n">
        <v>100</v>
      </c>
      <c r="D24" s="18" t="n">
        <v>100</v>
      </c>
      <c r="E24" s="18" t="n">
        <v>105</v>
      </c>
      <c r="F24" s="18" t="n">
        <v>110</v>
      </c>
      <c r="G24" s="18" t="n">
        <v>115</v>
      </c>
    </row>
    <row r="25">
      <c r="A25" s="5" t="inlineStr">
        <is>
          <t>私有化成本率（硬件+人力）</t>
        </is>
      </c>
      <c r="C25" s="15" t="n">
        <v>0.61</v>
      </c>
      <c r="D25" s="15" t="n">
        <v>0.61</v>
      </c>
      <c r="E25" s="15" t="n">
        <v>0.61</v>
      </c>
      <c r="F25" s="15" t="n">
        <v>0.61</v>
      </c>
      <c r="G25" s="15" t="n">
        <v>0.61</v>
      </c>
    </row>
    <row r="26">
      <c r="A26" s="5" t="inlineStr">
        <is>
          <t>解决方案成本率</t>
        </is>
      </c>
      <c r="C26" s="15" t="n">
        <v>0.42</v>
      </c>
      <c r="D26" s="15" t="n">
        <v>0.42</v>
      </c>
      <c r="E26" s="15" t="n">
        <v>0.42</v>
      </c>
      <c r="F26" s="15" t="n">
        <v>0.42</v>
      </c>
      <c r="G26" s="15" t="n">
        <v>0.42</v>
      </c>
    </row>
    <row r="27">
      <c r="A27" s="5" t="inlineStr">
        <is>
          <t>研发编制（人）</t>
        </is>
      </c>
      <c r="C27" s="16" t="n">
        <v>40</v>
      </c>
      <c r="D27" s="16" t="n">
        <v>70</v>
      </c>
      <c r="E27" s="16" t="n">
        <v>100</v>
      </c>
      <c r="F27" s="16" t="n">
        <v>130</v>
      </c>
      <c r="G27" s="16" t="n">
        <v>150</v>
      </c>
    </row>
    <row r="28">
      <c r="A28" s="5" t="inlineStr">
        <is>
          <t>销售编制（人）</t>
        </is>
      </c>
      <c r="C28" s="16" t="n">
        <v>20</v>
      </c>
      <c r="D28" s="16" t="n">
        <v>35</v>
      </c>
      <c r="E28" s="16" t="n">
        <v>50</v>
      </c>
      <c r="F28" s="16" t="n">
        <v>65</v>
      </c>
      <c r="G28" s="16" t="n">
        <v>75</v>
      </c>
    </row>
    <row r="29">
      <c r="A29" s="5" t="inlineStr">
        <is>
          <t>管理编制（人）</t>
        </is>
      </c>
      <c r="C29" s="16" t="n">
        <v>15</v>
      </c>
      <c r="D29" s="16" t="n">
        <v>22</v>
      </c>
      <c r="E29" s="16" t="n">
        <v>30</v>
      </c>
      <c r="F29" s="16" t="n">
        <v>38</v>
      </c>
      <c r="G29" s="16" t="n">
        <v>42</v>
      </c>
    </row>
    <row r="30">
      <c r="A30" s="13" t="inlineStr">
        <is>
          <t>── 智擎互联 · C端 ──</t>
        </is>
      </c>
      <c r="B30" s="14" t="n"/>
      <c r="C30" s="14" t="n"/>
      <c r="D30" s="14" t="n"/>
      <c r="E30" s="14" t="n"/>
      <c r="F30" s="14" t="n"/>
      <c r="G30" s="14" t="n"/>
    </row>
    <row r="31">
      <c r="A31" s="5" t="inlineStr">
        <is>
          <t>MAU（万人）</t>
        </is>
      </c>
      <c r="C31" s="16" t="n">
        <v>300</v>
      </c>
      <c r="D31" s="16" t="n">
        <v>550</v>
      </c>
      <c r="E31" s="16" t="n">
        <v>800</v>
      </c>
      <c r="F31" s="16" t="n">
        <v>1050</v>
      </c>
      <c r="G31" s="16" t="n">
        <v>1400</v>
      </c>
    </row>
    <row r="32">
      <c r="A32" s="5" t="inlineStr">
        <is>
          <t>付费转化率</t>
        </is>
      </c>
      <c r="C32" s="15" t="n">
        <v>0.02</v>
      </c>
      <c r="D32" s="15" t="n">
        <v>0.028</v>
      </c>
      <c r="E32" s="15" t="n">
        <v>0.035</v>
      </c>
      <c r="F32" s="15" t="n">
        <v>0.04</v>
      </c>
      <c r="G32" s="15" t="n">
        <v>0.05</v>
      </c>
    </row>
    <row r="33">
      <c r="A33" s="5" t="inlineStr">
        <is>
          <t>ARPPU（元/付费用户/月）</t>
        </is>
      </c>
      <c r="C33" s="19" t="n">
        <v>25</v>
      </c>
      <c r="D33" s="19" t="n">
        <v>28</v>
      </c>
      <c r="E33" s="19" t="n">
        <v>32</v>
      </c>
      <c r="F33" s="19" t="n">
        <v>36</v>
      </c>
      <c r="G33" s="19" t="n">
        <v>45</v>
      </c>
    </row>
    <row r="34">
      <c r="A34" s="5" t="inlineStr">
        <is>
          <t>广告收入</t>
        </is>
      </c>
      <c r="C34" s="18" t="n">
        <v>400</v>
      </c>
      <c r="D34" s="18" t="n">
        <v>800</v>
      </c>
      <c r="E34" s="18" t="n">
        <v>1200</v>
      </c>
      <c r="F34" s="18" t="n">
        <v>1600</v>
      </c>
      <c r="G34" s="18" t="n">
        <v>2200</v>
      </c>
    </row>
    <row r="35">
      <c r="A35" s="5" t="inlineStr">
        <is>
          <t>单位推理+带宽成本（元/MAU/月）</t>
        </is>
      </c>
      <c r="C35" s="17" t="n">
        <v>0.46</v>
      </c>
      <c r="D35" s="17" t="n">
        <v>0.6</v>
      </c>
      <c r="E35" s="17" t="n">
        <v>0.78</v>
      </c>
      <c r="F35" s="17" t="n">
        <v>0.95</v>
      </c>
      <c r="G35" s="17" t="n">
        <v>1.3</v>
      </c>
    </row>
    <row r="36">
      <c r="A36" s="5" t="inlineStr">
        <is>
          <t>获客成本（元/新增用户）</t>
        </is>
      </c>
      <c r="C36" s="19" t="n">
        <v>8</v>
      </c>
      <c r="D36" s="19" t="n">
        <v>10</v>
      </c>
      <c r="E36" s="19" t="n">
        <v>12</v>
      </c>
      <c r="F36" s="19" t="n">
        <v>14</v>
      </c>
      <c r="G36" s="19" t="n">
        <v>16</v>
      </c>
    </row>
    <row r="37">
      <c r="A37" s="5" t="inlineStr">
        <is>
          <t>新增用户=MAU增量×</t>
        </is>
      </c>
      <c r="B37" s="2" t="inlineStr">
        <is>
          <t>补流失</t>
        </is>
      </c>
      <c r="C37" s="20" t="n">
        <v>1.5</v>
      </c>
      <c r="D37" s="20" t="n">
        <v>1.5</v>
      </c>
      <c r="E37" s="20" t="n">
        <v>1.5</v>
      </c>
      <c r="F37" s="20" t="n">
        <v>1.5</v>
      </c>
      <c r="G37" s="20" t="n">
        <v>1.5</v>
      </c>
    </row>
    <row r="38">
      <c r="A38" s="5" t="inlineStr">
        <is>
          <t>研发编制（人）</t>
        </is>
      </c>
      <c r="C38" s="16" t="n">
        <v>80</v>
      </c>
      <c r="D38" s="16" t="n">
        <v>120</v>
      </c>
      <c r="E38" s="16" t="n">
        <v>160</v>
      </c>
      <c r="F38" s="16" t="n">
        <v>200</v>
      </c>
      <c r="G38" s="16" t="n">
        <v>230</v>
      </c>
    </row>
    <row r="39">
      <c r="A39" s="5" t="inlineStr">
        <is>
          <t>固定销售编制（人）</t>
        </is>
      </c>
      <c r="C39" s="16" t="n">
        <v>10</v>
      </c>
      <c r="D39" s="16" t="n">
        <v>15</v>
      </c>
      <c r="E39" s="16" t="n">
        <v>20</v>
      </c>
      <c r="F39" s="16" t="n">
        <v>25</v>
      </c>
      <c r="G39" s="16" t="n">
        <v>30</v>
      </c>
    </row>
    <row r="40">
      <c r="A40" s="5" t="inlineStr">
        <is>
          <t>管理编制（人）</t>
        </is>
      </c>
      <c r="C40" s="16" t="n">
        <v>10</v>
      </c>
      <c r="D40" s="16" t="n">
        <v>15</v>
      </c>
      <c r="E40" s="16" t="n">
        <v>20</v>
      </c>
      <c r="F40" s="16" t="n">
        <v>25</v>
      </c>
      <c r="G40" s="16" t="n">
        <v>28</v>
      </c>
    </row>
    <row r="41">
      <c r="A41" s="13" t="inlineStr">
        <is>
          <t>── 智擎研究院 ──</t>
        </is>
      </c>
      <c r="B41" s="14" t="n"/>
      <c r="C41" s="14" t="n"/>
      <c r="D41" s="14" t="n"/>
      <c r="E41" s="14" t="n"/>
      <c r="F41" s="14" t="n"/>
      <c r="G41" s="14" t="n"/>
    </row>
    <row r="42">
      <c r="A42" s="5" t="inlineStr">
        <is>
          <t>研发编制（人）</t>
        </is>
      </c>
      <c r="B42" s="2" t="inlineStr">
        <is>
          <t>基座模型研发</t>
        </is>
      </c>
      <c r="C42" s="16" t="n">
        <v>300</v>
      </c>
      <c r="D42" s="16" t="n">
        <v>420</v>
      </c>
      <c r="E42" s="16" t="n">
        <v>560</v>
      </c>
      <c r="F42" s="16" t="n">
        <v>430</v>
      </c>
      <c r="G42" s="16" t="n">
        <v>420</v>
      </c>
    </row>
    <row r="43">
      <c r="A43" s="5" t="inlineStr">
        <is>
          <t>人均全成本（万/年）</t>
        </is>
      </c>
      <c r="C43" s="19" t="n">
        <v>75</v>
      </c>
      <c r="D43" s="19" t="n">
        <v>78</v>
      </c>
      <c r="E43" s="19" t="n">
        <v>82</v>
      </c>
      <c r="F43" s="19" t="n">
        <v>85</v>
      </c>
      <c r="G43" s="19" t="n">
        <v>88</v>
      </c>
    </row>
    <row r="44">
      <c r="A44" s="5" t="inlineStr">
        <is>
          <t>其他研发费用（数据/外包）</t>
        </is>
      </c>
      <c r="C44" s="18" t="n">
        <v>3000</v>
      </c>
      <c r="D44" s="18" t="n">
        <v>4000</v>
      </c>
      <c r="E44" s="18" t="n">
        <v>5000</v>
      </c>
      <c r="F44" s="18" t="n">
        <v>5500</v>
      </c>
      <c r="G44" s="18" t="n">
        <v>5000</v>
      </c>
    </row>
    <row r="45">
      <c r="A45" s="5" t="inlineStr">
        <is>
          <t>管理编制（人）</t>
        </is>
      </c>
      <c r="C45" s="16" t="n">
        <v>15</v>
      </c>
      <c r="D45" s="16" t="n">
        <v>20</v>
      </c>
      <c r="E45" s="16" t="n">
        <v>25</v>
      </c>
      <c r="F45" s="16" t="n">
        <v>28</v>
      </c>
      <c r="G45" s="16" t="n">
        <v>30</v>
      </c>
    </row>
    <row r="46">
      <c r="A46" s="5" t="inlineStr">
        <is>
          <t>管理人均全成本（万/年）</t>
        </is>
      </c>
      <c r="C46" s="19" t="n">
        <v>55</v>
      </c>
      <c r="D46" s="19" t="n">
        <v>55</v>
      </c>
      <c r="E46" s="19" t="n">
        <v>55</v>
      </c>
      <c r="F46" s="19" t="n">
        <v>55</v>
      </c>
      <c r="G46" s="19" t="n">
        <v>55</v>
      </c>
    </row>
    <row r="47">
      <c r="A47" s="13" t="inlineStr">
        <is>
          <t>── 关联交易定价 ──</t>
        </is>
      </c>
      <c r="B47" s="14" t="n"/>
      <c r="C47" s="14" t="n"/>
      <c r="D47" s="14" t="n"/>
      <c r="E47" s="14" t="n"/>
      <c r="F47" s="14" t="n"/>
      <c r="G47" s="14" t="n"/>
    </row>
    <row r="48">
      <c r="A48" s="5" t="inlineStr">
        <is>
          <t>T1 license 费率 · 智擎云</t>
        </is>
      </c>
      <c r="B48" s="2" t="inlineStr">
        <is>
          <t>收入×费率</t>
        </is>
      </c>
      <c r="C48" s="15" t="n">
        <v>0.12</v>
      </c>
      <c r="D48" s="15" t="n">
        <v>0.12</v>
      </c>
      <c r="E48" s="15" t="n">
        <v>0.12</v>
      </c>
      <c r="F48" s="15" t="n">
        <v>0.12</v>
      </c>
      <c r="G48" s="15" t="n">
        <v>0.12</v>
      </c>
    </row>
    <row r="49">
      <c r="A49" s="5" t="inlineStr">
        <is>
          <t>T1 license 费率 · 智擎行业</t>
        </is>
      </c>
      <c r="B49" s="2" t="inlineStr">
        <is>
          <t>收入×费率</t>
        </is>
      </c>
      <c r="C49" s="15" t="n">
        <v>0.08</v>
      </c>
      <c r="D49" s="15" t="n">
        <v>0.08</v>
      </c>
      <c r="E49" s="15" t="n">
        <v>0.08</v>
      </c>
      <c r="F49" s="15" t="n">
        <v>0.08</v>
      </c>
      <c r="G49" s="15" t="n">
        <v>0.08</v>
      </c>
    </row>
    <row r="50">
      <c r="A50" s="5" t="inlineStr">
        <is>
          <t>T1 license 费率 · 智擎互联</t>
        </is>
      </c>
      <c r="B50" s="2" t="inlineStr">
        <is>
          <t>收入×费率</t>
        </is>
      </c>
      <c r="C50" s="15" t="n">
        <v>0.1</v>
      </c>
      <c r="D50" s="15" t="n">
        <v>0.1</v>
      </c>
      <c r="E50" s="15" t="n">
        <v>0.1</v>
      </c>
      <c r="F50" s="15" t="n">
        <v>0.1</v>
      </c>
      <c r="G50" s="15" t="n">
        <v>0.1</v>
      </c>
    </row>
    <row r="51">
      <c r="A51" s="5" t="inlineStr">
        <is>
          <t>T2 定制研发服务费（行业→研究院）</t>
        </is>
      </c>
      <c r="C51" s="18" t="n">
        <v>2000</v>
      </c>
      <c r="D51" s="18" t="n">
        <v>3500</v>
      </c>
      <c r="E51" s="18" t="n">
        <v>5000</v>
      </c>
      <c r="F51" s="18" t="n">
        <v>6500</v>
      </c>
      <c r="G51" s="18" t="n">
        <v>8000</v>
      </c>
    </row>
    <row r="52">
      <c r="A52" s="5" t="inlineStr">
        <is>
          <t>T3 互联算力结算占其推理成本</t>
        </is>
      </c>
      <c r="C52" s="15" t="n">
        <v>0.7</v>
      </c>
      <c r="D52" s="15" t="n">
        <v>0.7</v>
      </c>
      <c r="E52" s="15" t="n">
        <v>0.7</v>
      </c>
      <c r="F52" s="15" t="n">
        <v>0.7</v>
      </c>
      <c r="G52" s="15" t="n">
        <v>0.7</v>
      </c>
    </row>
    <row r="53">
      <c r="A53" s="5" t="inlineStr">
        <is>
          <t>T3 云内部毛利率</t>
        </is>
      </c>
      <c r="B53" s="2" t="inlineStr">
        <is>
          <t>内部利润随互联对外收入实现</t>
        </is>
      </c>
      <c r="C53" s="15" t="n">
        <v>0.45</v>
      </c>
      <c r="D53" s="15" t="n">
        <v>0.45</v>
      </c>
      <c r="E53" s="15" t="n">
        <v>0.45</v>
      </c>
      <c r="F53" s="15" t="n">
        <v>0.45</v>
      </c>
      <c r="G53" s="15" t="n">
        <v>0.45</v>
      </c>
    </row>
    <row r="54">
      <c r="A54" s="5" t="inlineStr">
        <is>
          <t>cut-off 在途（互联已确认/云未开票）</t>
        </is>
      </c>
      <c r="B54" s="2" t="inlineStr">
        <is>
          <t>仅2027年末演示</t>
        </is>
      </c>
      <c r="C54" s="16" t="n">
        <v>220</v>
      </c>
      <c r="D54" s="16" t="n">
        <v>220</v>
      </c>
      <c r="E54" s="16" t="n">
        <v>220</v>
      </c>
      <c r="F54" s="16" t="n">
        <v>220</v>
      </c>
      <c r="G54" s="16" t="n">
        <v>220</v>
      </c>
    </row>
    <row r="55">
      <c r="A55" s="13" t="inlineStr">
        <is>
          <t>── 股权融资计划（当年新增注资）──</t>
        </is>
      </c>
      <c r="B55" s="14" t="n"/>
      <c r="C55" s="14" t="n"/>
      <c r="D55" s="14" t="n"/>
      <c r="E55" s="14" t="n"/>
      <c r="F55" s="14" t="n"/>
      <c r="G55" s="14" t="n"/>
    </row>
    <row r="56">
      <c r="A56" s="5" t="inlineStr">
        <is>
          <t>研究院（老股东直接增资）</t>
        </is>
      </c>
      <c r="C56" s="18" t="n">
        <v>55000</v>
      </c>
      <c r="D56" s="18" t="n">
        <v>140000</v>
      </c>
      <c r="E56" s="18" t="n">
        <v>120000</v>
      </c>
      <c r="F56" s="18" t="n">
        <v>90000</v>
      </c>
      <c r="G56" s="18" t="n">
        <v>60000</v>
      </c>
    </row>
    <row r="57">
      <c r="A57" s="5" t="inlineStr">
        <is>
          <t>智擎云</t>
        </is>
      </c>
      <c r="C57" s="18" t="n">
        <v>14000</v>
      </c>
      <c r="D57" s="18" t="n">
        <v>25000</v>
      </c>
      <c r="E57" s="18" t="n">
        <v>20000</v>
      </c>
      <c r="F57" s="18" t="n">
        <v>8000</v>
      </c>
      <c r="G57" s="18" t="n">
        <v>4000</v>
      </c>
    </row>
    <row r="58">
      <c r="A58" s="5" t="inlineStr">
        <is>
          <t>智擎行业</t>
        </is>
      </c>
      <c r="C58" s="18" t="n">
        <v>10000</v>
      </c>
      <c r="D58" s="18" t="n">
        <v>15000</v>
      </c>
      <c r="E58" s="18" t="n">
        <v>12000</v>
      </c>
      <c r="F58" s="18" t="n">
        <v>6000</v>
      </c>
      <c r="G58" s="18" t="n">
        <v>3000</v>
      </c>
    </row>
    <row r="59">
      <c r="A59" s="5" t="inlineStr">
        <is>
          <t>智擎互联（含战投20%）</t>
        </is>
      </c>
      <c r="C59" s="18" t="n">
        <v>8000</v>
      </c>
      <c r="D59" s="18" t="n">
        <v>12000</v>
      </c>
      <c r="E59" s="18" t="n">
        <v>12000</v>
      </c>
      <c r="F59" s="18" t="n">
        <v>15000</v>
      </c>
      <c r="G59" s="18" t="n">
        <v>12000</v>
      </c>
    </row>
    <row r="60">
      <c r="A60" s="13" t="inlineStr">
        <is>
          <t>── 收入地区拆分 ──</t>
        </is>
      </c>
      <c r="B60" s="14" t="n"/>
      <c r="C60" s="14" t="n"/>
      <c r="D60" s="14" t="n"/>
      <c r="E60" s="14" t="n"/>
      <c r="F60" s="14" t="n"/>
      <c r="G60" s="14" t="n"/>
    </row>
    <row r="61">
      <c r="A61" s="5" t="inlineStr">
        <is>
          <t>华东 占比</t>
        </is>
      </c>
      <c r="C61" s="15" t="n">
        <v>0.35</v>
      </c>
      <c r="D61" s="15" t="n">
        <v>0.32</v>
      </c>
      <c r="E61" s="15" t="n">
        <v>0.3</v>
      </c>
      <c r="F61" s="15" t="n">
        <v>0.29</v>
      </c>
      <c r="G61" s="15" t="n">
        <v>0.28</v>
      </c>
    </row>
    <row r="62">
      <c r="A62" s="5" t="inlineStr">
        <is>
          <t>华北 占比</t>
        </is>
      </c>
      <c r="C62" s="15" t="n">
        <v>0.3</v>
      </c>
      <c r="D62" s="15" t="n">
        <v>0.3</v>
      </c>
      <c r="E62" s="15" t="n">
        <v>0.29</v>
      </c>
      <c r="F62" s="15" t="n">
        <v>0.28</v>
      </c>
      <c r="G62" s="15" t="n">
        <v>0.27</v>
      </c>
    </row>
    <row r="63">
      <c r="A63" s="5" t="inlineStr">
        <is>
          <t>华南 占比</t>
        </is>
      </c>
      <c r="C63" s="15" t="n">
        <v>0.2</v>
      </c>
      <c r="D63" s="15" t="n">
        <v>0.2</v>
      </c>
      <c r="E63" s="15" t="n">
        <v>0.2</v>
      </c>
      <c r="F63" s="15" t="n">
        <v>0.2</v>
      </c>
      <c r="G63" s="15" t="n">
        <v>0.2</v>
      </c>
    </row>
    <row r="64">
      <c r="A64" s="5" t="inlineStr">
        <is>
          <t>海外 占比</t>
        </is>
      </c>
      <c r="C64" s="15" t="n">
        <v>0.15</v>
      </c>
      <c r="D64" s="15" t="n">
        <v>0.18</v>
      </c>
      <c r="E64" s="15" t="n">
        <v>0.21</v>
      </c>
      <c r="F64" s="15" t="n">
        <v>0.23</v>
      </c>
      <c r="G64" s="15" t="n">
        <v>0.25</v>
      </c>
    </row>
    <row r="65">
      <c r="A65" s="13" t="inlineStr">
        <is>
          <t>── 期初数（2023年初）──</t>
        </is>
      </c>
      <c r="B65" s="14" t="n"/>
      <c r="C65" s="14" t="n"/>
      <c r="D65" s="14" t="n"/>
      <c r="E65" s="14" t="n"/>
      <c r="F65" s="14" t="n"/>
      <c r="G65" s="14" t="n"/>
    </row>
    <row r="66">
      <c r="A66" s="5" t="inlineStr">
        <is>
          <t>智擎研究院 期初未分配利润</t>
        </is>
      </c>
      <c r="C66" s="16" t="n">
        <v>-15000</v>
      </c>
      <c r="D66" s="16" t="n">
        <v>-15000</v>
      </c>
      <c r="E66" s="16" t="n">
        <v>-15000</v>
      </c>
      <c r="F66" s="16" t="n">
        <v>-15000</v>
      </c>
      <c r="G66" s="16" t="n">
        <v>-15000</v>
      </c>
    </row>
    <row r="67">
      <c r="A67" s="5" t="inlineStr">
        <is>
          <t>智擎研究院 期初实收资本</t>
        </is>
      </c>
      <c r="C67" s="16" t="n">
        <v>120000</v>
      </c>
      <c r="D67" s="16" t="n">
        <v>120000</v>
      </c>
      <c r="E67" s="16" t="n">
        <v>120000</v>
      </c>
      <c r="F67" s="16" t="n">
        <v>120000</v>
      </c>
      <c r="G67" s="16" t="n">
        <v>120000</v>
      </c>
    </row>
    <row r="68">
      <c r="A68" s="5" t="inlineStr">
        <is>
          <t>智擎云 期初未分配利润</t>
        </is>
      </c>
      <c r="C68" s="16" t="n">
        <v>-8000</v>
      </c>
      <c r="D68" s="16" t="n">
        <v>-8000</v>
      </c>
      <c r="E68" s="16" t="n">
        <v>-8000</v>
      </c>
      <c r="F68" s="16" t="n">
        <v>-8000</v>
      </c>
      <c r="G68" s="16" t="n">
        <v>-8000</v>
      </c>
    </row>
    <row r="69">
      <c r="A69" s="5" t="inlineStr">
        <is>
          <t>智擎云 期初实收资本</t>
        </is>
      </c>
      <c r="C69" s="16" t="n">
        <v>33000</v>
      </c>
      <c r="D69" s="16" t="n">
        <v>33000</v>
      </c>
      <c r="E69" s="16" t="n">
        <v>33000</v>
      </c>
      <c r="F69" s="16" t="n">
        <v>33000</v>
      </c>
      <c r="G69" s="16" t="n">
        <v>33000</v>
      </c>
    </row>
    <row r="70">
      <c r="A70" s="5" t="inlineStr">
        <is>
          <t>智擎行业 期初未分配利润</t>
        </is>
      </c>
      <c r="C70" s="16" t="n">
        <v>-4000</v>
      </c>
      <c r="D70" s="16" t="n">
        <v>-4000</v>
      </c>
      <c r="E70" s="16" t="n">
        <v>-4000</v>
      </c>
      <c r="F70" s="16" t="n">
        <v>-4000</v>
      </c>
      <c r="G70" s="16" t="n">
        <v>-4000</v>
      </c>
    </row>
    <row r="71">
      <c r="A71" s="5" t="inlineStr">
        <is>
          <t>智擎行业 期初实收资本</t>
        </is>
      </c>
      <c r="C71" s="16" t="n">
        <v>18000</v>
      </c>
      <c r="D71" s="16" t="n">
        <v>18000</v>
      </c>
      <c r="E71" s="16" t="n">
        <v>18000</v>
      </c>
      <c r="F71" s="16" t="n">
        <v>18000</v>
      </c>
      <c r="G71" s="16" t="n">
        <v>18000</v>
      </c>
    </row>
    <row r="72">
      <c r="A72" s="5" t="inlineStr">
        <is>
          <t>智擎互联 期初未分配利润</t>
        </is>
      </c>
      <c r="C72" s="16" t="n">
        <v>-3000</v>
      </c>
      <c r="D72" s="16" t="n">
        <v>-3000</v>
      </c>
      <c r="E72" s="16" t="n">
        <v>-3000</v>
      </c>
      <c r="F72" s="16" t="n">
        <v>-3000</v>
      </c>
      <c r="G72" s="16" t="n">
        <v>-3000</v>
      </c>
    </row>
    <row r="73">
      <c r="A73" s="5" t="inlineStr">
        <is>
          <t>智擎互联 期初实收资本</t>
        </is>
      </c>
      <c r="C73" s="16" t="n">
        <v>10000</v>
      </c>
      <c r="D73" s="16" t="n">
        <v>10000</v>
      </c>
      <c r="E73" s="16" t="n">
        <v>10000</v>
      </c>
      <c r="F73" s="16" t="n">
        <v>10000</v>
      </c>
      <c r="G73" s="16" t="n">
        <v>10000</v>
      </c>
    </row>
    <row r="74">
      <c r="A74" s="5" t="inlineStr">
        <is>
          <t>研究院期初 GPU 原值</t>
        </is>
      </c>
      <c r="B74" s="2" t="inlineStr">
        <is>
          <t>并入2023批次</t>
        </is>
      </c>
      <c r="C74" s="16" t="n">
        <v>45000</v>
      </c>
      <c r="D74" s="16" t="n">
        <v>45000</v>
      </c>
      <c r="E74" s="16" t="n">
        <v>45000</v>
      </c>
      <c r="F74" s="16" t="n">
        <v>45000</v>
      </c>
      <c r="G74" s="16" t="n">
        <v>45000</v>
      </c>
    </row>
    <row r="75">
      <c r="A75" s="5" t="inlineStr">
        <is>
          <t>智擎云期初 GPU 原值</t>
        </is>
      </c>
      <c r="B75" s="2" t="inlineStr">
        <is>
          <t>并入2023批次</t>
        </is>
      </c>
      <c r="C75" s="16" t="n">
        <v>15000</v>
      </c>
      <c r="D75" s="16" t="n">
        <v>15000</v>
      </c>
      <c r="E75" s="16" t="n">
        <v>15000</v>
      </c>
      <c r="F75" s="16" t="n">
        <v>15000</v>
      </c>
      <c r="G75" s="16" t="n">
        <v>15000</v>
      </c>
    </row>
    <row r="76">
      <c r="A76" s="5" t="inlineStr">
        <is>
          <t>研究院期初长投合计</t>
        </is>
      </c>
      <c r="C76" s="16" t="n">
        <v>23000</v>
      </c>
      <c r="D76" s="16" t="n">
        <v>23000</v>
      </c>
      <c r="E76" s="16" t="n">
        <v>23000</v>
      </c>
      <c r="F76" s="16" t="n">
        <v>23000</v>
      </c>
      <c r="G76" s="16" t="n">
        <v>23000</v>
      </c>
    </row>
    <row r="77">
      <c r="A77" s="5" t="inlineStr">
        <is>
          <t>智擎云 递延收入率</t>
        </is>
      </c>
      <c r="B77" s="2" t="inlineStr">
        <is>
          <t>期末递延/当年收入</t>
        </is>
      </c>
      <c r="C77" s="15" t="n">
        <v>0.05</v>
      </c>
      <c r="D77" s="15" t="n">
        <v>0.05</v>
      </c>
      <c r="E77" s="15" t="n">
        <v>0.05</v>
      </c>
      <c r="F77" s="15" t="n">
        <v>0.05</v>
      </c>
      <c r="G77" s="15" t="n">
        <v>0.05</v>
      </c>
    </row>
    <row r="78">
      <c r="A78" s="5" t="inlineStr">
        <is>
          <t>智擎行业 递延收入率</t>
        </is>
      </c>
      <c r="B78" s="2" t="inlineStr">
        <is>
          <t>期末递延/当年收入</t>
        </is>
      </c>
      <c r="C78" s="15" t="n">
        <v>0.08</v>
      </c>
      <c r="D78" s="15" t="n">
        <v>0.08</v>
      </c>
      <c r="E78" s="15" t="n">
        <v>0.08</v>
      </c>
      <c r="F78" s="15" t="n">
        <v>0.08</v>
      </c>
      <c r="G78" s="15" t="n">
        <v>0.08</v>
      </c>
    </row>
    <row r="79">
      <c r="A79" s="5" t="inlineStr">
        <is>
          <t>智擎互联 递延收入率</t>
        </is>
      </c>
      <c r="B79" s="2" t="inlineStr">
        <is>
          <t>期末递延/当年收入</t>
        </is>
      </c>
      <c r="C79" s="15" t="n">
        <v>0.2</v>
      </c>
      <c r="D79" s="15" t="n">
        <v>0.2</v>
      </c>
      <c r="E79" s="15" t="n">
        <v>0.2</v>
      </c>
      <c r="F79" s="15" t="n">
        <v>0.2</v>
      </c>
      <c r="G79" s="15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H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</cols>
  <sheetData>
    <row r="1">
      <c r="A1" s="10" t="inlineStr">
        <is>
          <t>GPU 资本开支与折旧引擎</t>
        </is>
      </c>
    </row>
    <row r="2">
      <c r="A2" s="2" t="inlineStr">
        <is>
          <t>批次法：购置当年起 5 年直线 | 大模型公司的资产负债表灵魂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采购计划（输入）──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5" t="inlineStr">
        <is>
          <t>训练 GPU 采购（研究院）</t>
        </is>
      </c>
      <c r="B5" s="2" t="inlineStr">
        <is>
          <t>含期初存量并入2023批</t>
        </is>
      </c>
      <c r="C5" s="18" t="n">
        <v>40000</v>
      </c>
      <c r="D5" s="18" t="n">
        <v>60000</v>
      </c>
      <c r="E5" s="18" t="n">
        <v>30000</v>
      </c>
      <c r="F5" s="18" t="n">
        <v>15000</v>
      </c>
      <c r="G5" s="18" t="n">
        <v>15000</v>
      </c>
    </row>
    <row r="6">
      <c r="A6" s="5" t="inlineStr">
        <is>
          <t>推理 GPU 采购（智擎云）</t>
        </is>
      </c>
      <c r="C6" s="18" t="n">
        <v>20000</v>
      </c>
      <c r="D6" s="18" t="n">
        <v>30000</v>
      </c>
      <c r="E6" s="18" t="n">
        <v>30000</v>
      </c>
      <c r="F6" s="18" t="n">
        <v>15000</v>
      </c>
      <c r="G6" s="18" t="n">
        <v>10000</v>
      </c>
    </row>
    <row r="8">
      <c r="A8" s="13" t="inlineStr">
        <is>
          <t>── 批次折旧明细（H列=批次原值，B列=购置年）──</t>
        </is>
      </c>
      <c r="B8" s="14" t="n"/>
      <c r="C8" s="14" t="n"/>
      <c r="D8" s="14" t="n"/>
      <c r="E8" s="14" t="n"/>
      <c r="F8" s="14" t="n"/>
      <c r="G8" s="14" t="n"/>
      <c r="H8" s="14" t="n"/>
    </row>
    <row r="9">
      <c r="A9" s="5" t="inlineStr">
        <is>
          <t>训练卡 2023批</t>
        </is>
      </c>
      <c r="B9" s="21" t="n">
        <v>2023</v>
      </c>
      <c r="C9" s="22">
        <f>IF(AND(C$3&gt;=$B9,C$3&lt;$B9+5),$H9/5,0)</f>
        <v/>
      </c>
      <c r="D9" s="22">
        <f>IF(AND(D$3&gt;=$B9,D$3&lt;$B9+5),$H9/5,0)</f>
        <v/>
      </c>
      <c r="E9" s="22">
        <f>IF(AND(E$3&gt;=$B9,E$3&lt;$B9+5),$H9/5,0)</f>
        <v/>
      </c>
      <c r="F9" s="22">
        <f>IF(AND(F$3&gt;=$B9,F$3&lt;$B9+5),$H9/5,0)</f>
        <v/>
      </c>
      <c r="G9" s="22">
        <f>IF(AND(G$3&gt;=$B9,G$3&lt;$B9+5),$H9/5,0)</f>
        <v/>
      </c>
      <c r="H9" s="18" t="n">
        <v>85000</v>
      </c>
    </row>
    <row r="10">
      <c r="A10" s="5" t="inlineStr">
        <is>
          <t>训练卡 2024批</t>
        </is>
      </c>
      <c r="B10" s="21" t="n">
        <v>2024</v>
      </c>
      <c r="C10" s="22">
        <f>IF(AND(C$3&gt;=$B10,C$3&lt;$B10+5),$H10/5,0)</f>
        <v/>
      </c>
      <c r="D10" s="22">
        <f>IF(AND(D$3&gt;=$B10,D$3&lt;$B10+5),$H10/5,0)</f>
        <v/>
      </c>
      <c r="E10" s="22">
        <f>IF(AND(E$3&gt;=$B10,E$3&lt;$B10+5),$H10/5,0)</f>
        <v/>
      </c>
      <c r="F10" s="22">
        <f>IF(AND(F$3&gt;=$B10,F$3&lt;$B10+5),$H10/5,0)</f>
        <v/>
      </c>
      <c r="G10" s="22">
        <f>IF(AND(G$3&gt;=$B10,G$3&lt;$B10+5),$H10/5,0)</f>
        <v/>
      </c>
      <c r="H10" s="18" t="n">
        <v>60000</v>
      </c>
    </row>
    <row r="11">
      <c r="A11" s="5" t="inlineStr">
        <is>
          <t>训练卡 2025批</t>
        </is>
      </c>
      <c r="B11" s="21" t="n">
        <v>2025</v>
      </c>
      <c r="C11" s="22">
        <f>IF(AND(C$3&gt;=$B11,C$3&lt;$B11+5),$H11/5,0)</f>
        <v/>
      </c>
      <c r="D11" s="22">
        <f>IF(AND(D$3&gt;=$B11,D$3&lt;$B11+5),$H11/5,0)</f>
        <v/>
      </c>
      <c r="E11" s="22">
        <f>IF(AND(E$3&gt;=$B11,E$3&lt;$B11+5),$H11/5,0)</f>
        <v/>
      </c>
      <c r="F11" s="22">
        <f>IF(AND(F$3&gt;=$B11,F$3&lt;$B11+5),$H11/5,0)</f>
        <v/>
      </c>
      <c r="G11" s="22">
        <f>IF(AND(G$3&gt;=$B11,G$3&lt;$B11+5),$H11/5,0)</f>
        <v/>
      </c>
      <c r="H11" s="18" t="n">
        <v>30000</v>
      </c>
    </row>
    <row r="12">
      <c r="A12" s="5" t="inlineStr">
        <is>
          <t>训练卡 2026批</t>
        </is>
      </c>
      <c r="B12" s="21" t="n">
        <v>2026</v>
      </c>
      <c r="C12" s="22">
        <f>IF(AND(C$3&gt;=$B12,C$3&lt;$B12+5),$H12/5,0)</f>
        <v/>
      </c>
      <c r="D12" s="22">
        <f>IF(AND(D$3&gt;=$B12,D$3&lt;$B12+5),$H12/5,0)</f>
        <v/>
      </c>
      <c r="E12" s="22">
        <f>IF(AND(E$3&gt;=$B12,E$3&lt;$B12+5),$H12/5,0)</f>
        <v/>
      </c>
      <c r="F12" s="22">
        <f>IF(AND(F$3&gt;=$B12,F$3&lt;$B12+5),$H12/5,0)</f>
        <v/>
      </c>
      <c r="G12" s="22">
        <f>IF(AND(G$3&gt;=$B12,G$3&lt;$B12+5),$H12/5,0)</f>
        <v/>
      </c>
      <c r="H12" s="18" t="n">
        <v>15000</v>
      </c>
    </row>
    <row r="13">
      <c r="A13" s="5" t="inlineStr">
        <is>
          <t>训练卡 2027批</t>
        </is>
      </c>
      <c r="B13" s="21" t="n">
        <v>2027</v>
      </c>
      <c r="C13" s="22">
        <f>IF(AND(C$3&gt;=$B13,C$3&lt;$B13+5),$H13/5,0)</f>
        <v/>
      </c>
      <c r="D13" s="22">
        <f>IF(AND(D$3&gt;=$B13,D$3&lt;$B13+5),$H13/5,0)</f>
        <v/>
      </c>
      <c r="E13" s="22">
        <f>IF(AND(E$3&gt;=$B13,E$3&lt;$B13+5),$H13/5,0)</f>
        <v/>
      </c>
      <c r="F13" s="22">
        <f>IF(AND(F$3&gt;=$B13,F$3&lt;$B13+5),$H13/5,0)</f>
        <v/>
      </c>
      <c r="G13" s="22">
        <f>IF(AND(G$3&gt;=$B13,G$3&lt;$B13+5),$H13/5,0)</f>
        <v/>
      </c>
      <c r="H13" s="18" t="n">
        <v>15000</v>
      </c>
    </row>
    <row r="15">
      <c r="A15" s="5" t="inlineStr">
        <is>
          <t>推理卡 2023批</t>
        </is>
      </c>
      <c r="B15" s="21" t="n">
        <v>2023</v>
      </c>
      <c r="C15" s="22">
        <f>IF(AND(C$3&gt;=$B15,C$3&lt;$B15+5),$H15/5,0)</f>
        <v/>
      </c>
      <c r="D15" s="22">
        <f>IF(AND(D$3&gt;=$B15,D$3&lt;$B15+5),$H15/5,0)</f>
        <v/>
      </c>
      <c r="E15" s="22">
        <f>IF(AND(E$3&gt;=$B15,E$3&lt;$B15+5),$H15/5,0)</f>
        <v/>
      </c>
      <c r="F15" s="22">
        <f>IF(AND(F$3&gt;=$B15,F$3&lt;$B15+5),$H15/5,0)</f>
        <v/>
      </c>
      <c r="G15" s="22">
        <f>IF(AND(G$3&gt;=$B15,G$3&lt;$B15+5),$H15/5,0)</f>
        <v/>
      </c>
      <c r="H15" s="18" t="n">
        <v>35000</v>
      </c>
    </row>
    <row r="16">
      <c r="A16" s="5" t="inlineStr">
        <is>
          <t>推理卡 2024批</t>
        </is>
      </c>
      <c r="B16" s="21" t="n">
        <v>2024</v>
      </c>
      <c r="C16" s="22">
        <f>IF(AND(C$3&gt;=$B16,C$3&lt;$B16+5),$H16/5,0)</f>
        <v/>
      </c>
      <c r="D16" s="22">
        <f>IF(AND(D$3&gt;=$B16,D$3&lt;$B16+5),$H16/5,0)</f>
        <v/>
      </c>
      <c r="E16" s="22">
        <f>IF(AND(E$3&gt;=$B16,E$3&lt;$B16+5),$H16/5,0)</f>
        <v/>
      </c>
      <c r="F16" s="22">
        <f>IF(AND(F$3&gt;=$B16,F$3&lt;$B16+5),$H16/5,0)</f>
        <v/>
      </c>
      <c r="G16" s="22">
        <f>IF(AND(G$3&gt;=$B16,G$3&lt;$B16+5),$H16/5,0)</f>
        <v/>
      </c>
      <c r="H16" s="18" t="n">
        <v>30000</v>
      </c>
    </row>
    <row r="17">
      <c r="A17" s="5" t="inlineStr">
        <is>
          <t>推理卡 2025批</t>
        </is>
      </c>
      <c r="B17" s="21" t="n">
        <v>2025</v>
      </c>
      <c r="C17" s="22">
        <f>IF(AND(C$3&gt;=$B17,C$3&lt;$B17+5),$H17/5,0)</f>
        <v/>
      </c>
      <c r="D17" s="22">
        <f>IF(AND(D$3&gt;=$B17,D$3&lt;$B17+5),$H17/5,0)</f>
        <v/>
      </c>
      <c r="E17" s="22">
        <f>IF(AND(E$3&gt;=$B17,E$3&lt;$B17+5),$H17/5,0)</f>
        <v/>
      </c>
      <c r="F17" s="22">
        <f>IF(AND(F$3&gt;=$B17,F$3&lt;$B17+5),$H17/5,0)</f>
        <v/>
      </c>
      <c r="G17" s="22">
        <f>IF(AND(G$3&gt;=$B17,G$3&lt;$B17+5),$H17/5,0)</f>
        <v/>
      </c>
      <c r="H17" s="18" t="n">
        <v>30000</v>
      </c>
    </row>
    <row r="18">
      <c r="A18" s="5" t="inlineStr">
        <is>
          <t>推理卡 2026批</t>
        </is>
      </c>
      <c r="B18" s="21" t="n">
        <v>2026</v>
      </c>
      <c r="C18" s="22">
        <f>IF(AND(C$3&gt;=$B18,C$3&lt;$B18+5),$H18/5,0)</f>
        <v/>
      </c>
      <c r="D18" s="22">
        <f>IF(AND(D$3&gt;=$B18,D$3&lt;$B18+5),$H18/5,0)</f>
        <v/>
      </c>
      <c r="E18" s="22">
        <f>IF(AND(E$3&gt;=$B18,E$3&lt;$B18+5),$H18/5,0)</f>
        <v/>
      </c>
      <c r="F18" s="22">
        <f>IF(AND(F$3&gt;=$B18,F$3&lt;$B18+5),$H18/5,0)</f>
        <v/>
      </c>
      <c r="G18" s="22">
        <f>IF(AND(G$3&gt;=$B18,G$3&lt;$B18+5),$H18/5,0)</f>
        <v/>
      </c>
      <c r="H18" s="18" t="n">
        <v>15000</v>
      </c>
    </row>
    <row r="19">
      <c r="A19" s="5" t="inlineStr">
        <is>
          <t>推理卡 2027批</t>
        </is>
      </c>
      <c r="B19" s="21" t="n">
        <v>2027</v>
      </c>
      <c r="C19" s="22">
        <f>IF(AND(C$3&gt;=$B19,C$3&lt;$B19+5),$H19/5,0)</f>
        <v/>
      </c>
      <c r="D19" s="22">
        <f>IF(AND(D$3&gt;=$B19,D$3&lt;$B19+5),$H19/5,0)</f>
        <v/>
      </c>
      <c r="E19" s="22">
        <f>IF(AND(E$3&gt;=$B19,E$3&lt;$B19+5),$H19/5,0)</f>
        <v/>
      </c>
      <c r="F19" s="22">
        <f>IF(AND(F$3&gt;=$B19,F$3&lt;$B19+5),$H19/5,0)</f>
        <v/>
      </c>
      <c r="G19" s="22">
        <f>IF(AND(G$3&gt;=$B19,G$3&lt;$B19+5),$H19/5,0)</f>
        <v/>
      </c>
      <c r="H19" s="18" t="n">
        <v>10000</v>
      </c>
    </row>
    <row r="21">
      <c r="A21" s="13" t="inlineStr">
        <is>
          <t>── 汇总 ──</t>
        </is>
      </c>
      <c r="B21" s="14" t="n"/>
      <c r="C21" s="14" t="n"/>
      <c r="D21" s="14" t="n"/>
      <c r="E21" s="14" t="n"/>
      <c r="F21" s="14" t="n"/>
      <c r="G21" s="14" t="n"/>
      <c r="H21" s="14" t="n"/>
    </row>
    <row r="22">
      <c r="A22" s="3" t="inlineStr">
        <is>
          <t>训练 GPU 当年折旧</t>
        </is>
      </c>
      <c r="B22" s="2" t="inlineStr">
        <is>
          <t>→ 研究院研发费用</t>
        </is>
      </c>
      <c r="C22" s="23">
        <f>SUM(C9:C13)</f>
        <v/>
      </c>
      <c r="D22" s="23">
        <f>SUM(D9:D13)</f>
        <v/>
      </c>
      <c r="E22" s="23">
        <f>SUM(E9:E13)</f>
        <v/>
      </c>
      <c r="F22" s="23">
        <f>SUM(F9:F13)</f>
        <v/>
      </c>
      <c r="G22" s="23">
        <f>SUM(G9:G13)</f>
        <v/>
      </c>
    </row>
    <row r="23">
      <c r="A23" s="3" t="inlineStr">
        <is>
          <t>训练 GPU 净值</t>
        </is>
      </c>
      <c r="B23" s="2" t="inlineStr">
        <is>
          <t>→ 研究院 BS</t>
        </is>
      </c>
      <c r="C23" s="23">
        <f>SUMIFS($H$9:$H$13,$B$9:$B$13,"&lt;="&amp;C$3)-SUM($C$22:C22)</f>
        <v/>
      </c>
      <c r="D23" s="23">
        <f>SUMIFS($H$9:$H$13,$B$9:$B$13,"&lt;="&amp;D$3)-SUM($C$22:D22)</f>
        <v/>
      </c>
      <c r="E23" s="23">
        <f>SUMIFS($H$9:$H$13,$B$9:$B$13,"&lt;="&amp;E$3)-SUM($C$22:E22)</f>
        <v/>
      </c>
      <c r="F23" s="23">
        <f>SUMIFS($H$9:$H$13,$B$9:$B$13,"&lt;="&amp;F$3)-SUM($C$22:F22)</f>
        <v/>
      </c>
      <c r="G23" s="23">
        <f>SUMIFS($H$9:$H$13,$B$9:$B$13,"&lt;="&amp;G$3)-SUM($C$22:G22)</f>
        <v/>
      </c>
    </row>
    <row r="24">
      <c r="A24" s="3" t="inlineStr">
        <is>
          <t>推理 GPU 当年折旧</t>
        </is>
      </c>
      <c r="B24" s="2" t="inlineStr">
        <is>
          <t>→ 智擎云 COGS 构成</t>
        </is>
      </c>
      <c r="C24" s="23">
        <f>SUM(C15:C19)</f>
        <v/>
      </c>
      <c r="D24" s="23">
        <f>SUM(D15:D19)</f>
        <v/>
      </c>
      <c r="E24" s="23">
        <f>SUM(E15:E19)</f>
        <v/>
      </c>
      <c r="F24" s="23">
        <f>SUM(F15:F19)</f>
        <v/>
      </c>
      <c r="G24" s="23">
        <f>SUM(G15:G19)</f>
        <v/>
      </c>
    </row>
    <row r="25">
      <c r="A25" s="3" t="inlineStr">
        <is>
          <t>推理 GPU 净值</t>
        </is>
      </c>
      <c r="B25" s="2" t="inlineStr">
        <is>
          <t>→ 智擎云 BS</t>
        </is>
      </c>
      <c r="C25" s="23">
        <f>SUMIFS($H$15:$H$19,$B$15:$B$19,"&lt;="&amp;C$3)-SUM($C$24:C24)</f>
        <v/>
      </c>
      <c r="D25" s="23">
        <f>SUMIFS($H$15:$H$19,$B$15:$B$19,"&lt;="&amp;D$3)-SUM($C$24:D24)</f>
        <v/>
      </c>
      <c r="E25" s="23">
        <f>SUMIFS($H$15:$H$19,$B$15:$B$19,"&lt;="&amp;E$3)-SUM($C$24:E24)</f>
        <v/>
      </c>
      <c r="F25" s="23">
        <f>SUMIFS($H$15:$H$19,$B$15:$B$19,"&lt;="&amp;F$3)-SUM($C$24:F24)</f>
        <v/>
      </c>
      <c r="G25" s="23">
        <f>SUMIFS($H$15:$H$19,$B$15:$B$19,"&lt;="&amp;G$3)-SUM($C$24:G24)</f>
        <v/>
      </c>
    </row>
    <row r="27">
      <c r="A27" s="3" t="inlineStr">
        <is>
          <t>★ 引擎自检（折旧/净值 vs 影子值，应全 0）</t>
        </is>
      </c>
      <c r="C27" s="24" t="n"/>
      <c r="D27" s="24" t="n"/>
      <c r="E27" s="24" t="n"/>
      <c r="F27" s="24" t="n"/>
      <c r="G27" s="24" t="n"/>
    </row>
    <row r="28">
      <c r="A28" s="5" t="inlineStr">
        <is>
          <t xml:space="preserve">  diff DEP_TRAIN</t>
        </is>
      </c>
      <c r="B28" s="2" t="inlineStr">
        <is>
          <t>绿=0</t>
        </is>
      </c>
      <c r="C28" s="25">
        <f>C22-(17000.000000)</f>
        <v/>
      </c>
      <c r="D28" s="25">
        <f>D22-(29000.000000)</f>
        <v/>
      </c>
      <c r="E28" s="25">
        <f>E22-(35000.000000)</f>
        <v/>
      </c>
      <c r="F28" s="25">
        <f>F22-(38000.000000)</f>
        <v/>
      </c>
      <c r="G28" s="25">
        <f>G22-(41000.000000)</f>
        <v/>
      </c>
    </row>
    <row r="29">
      <c r="A29" s="5" t="inlineStr">
        <is>
          <t xml:space="preserve">  diff NET_TRAIN</t>
        </is>
      </c>
      <c r="B29" s="2" t="inlineStr">
        <is>
          <t>绿=0</t>
        </is>
      </c>
      <c r="C29" s="25">
        <f>C23-(68000.000000)</f>
        <v/>
      </c>
      <c r="D29" s="25">
        <f>D23-(99000.000000)</f>
        <v/>
      </c>
      <c r="E29" s="25">
        <f>E23-(94000.000000)</f>
        <v/>
      </c>
      <c r="F29" s="25">
        <f>F23-(71000.000000)</f>
        <v/>
      </c>
      <c r="G29" s="25">
        <f>G23-(45000.000000)</f>
        <v/>
      </c>
    </row>
    <row r="30">
      <c r="A30" s="5" t="inlineStr">
        <is>
          <t xml:space="preserve">  diff DEP_INFER</t>
        </is>
      </c>
      <c r="B30" s="2" t="inlineStr">
        <is>
          <t>绿=0</t>
        </is>
      </c>
      <c r="C30" s="25">
        <f>C24-(7000.000000)</f>
        <v/>
      </c>
      <c r="D30" s="25">
        <f>D24-(13000.000000)</f>
        <v/>
      </c>
      <c r="E30" s="25">
        <f>E24-(19000.000000)</f>
        <v/>
      </c>
      <c r="F30" s="25">
        <f>F24-(22000.000000)</f>
        <v/>
      </c>
      <c r="G30" s="25">
        <f>G24-(24000.000000)</f>
        <v/>
      </c>
    </row>
    <row r="31">
      <c r="A31" s="5" t="inlineStr">
        <is>
          <t xml:space="preserve">  diff NET_INFER</t>
        </is>
      </c>
      <c r="B31" s="2" t="inlineStr">
        <is>
          <t>绿=0</t>
        </is>
      </c>
      <c r="C31" s="25">
        <f>C25-(28000.000000)</f>
        <v/>
      </c>
      <c r="D31" s="25">
        <f>D25-(45000.000000)</f>
        <v/>
      </c>
      <c r="E31" s="25">
        <f>E25-(56000.000000)</f>
        <v/>
      </c>
      <c r="F31" s="25">
        <f>F25-(49000.000000)</f>
        <v/>
      </c>
      <c r="G31" s="25">
        <f>G25-(35000.000000)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智擎云 · 利润表</t>
        </is>
      </c>
    </row>
    <row r="2">
      <c r="A2" s="2" t="inlineStr">
        <is>
          <t>单体 | MaaS API：token 量 × 单价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对外收入 · MaaS API</t>
        </is>
      </c>
      <c r="B4" s="2" t="inlineStr">
        <is>
          <t>日均token×365×单价/1000</t>
        </is>
      </c>
      <c r="C4" s="8">
        <f>Assumptions!C11*36.5*Assumptions!C12</f>
        <v/>
      </c>
      <c r="D4" s="8">
        <f>Assumptions!D11*36.5*Assumptions!D12</f>
        <v/>
      </c>
      <c r="E4" s="8">
        <f>Assumptions!E11*36.5*Assumptions!E12</f>
        <v/>
      </c>
      <c r="F4" s="8">
        <f>Assumptions!F11*36.5*Assumptions!F12</f>
        <v/>
      </c>
      <c r="G4" s="8">
        <f>Assumptions!G11*36.5*Assumptions!G12</f>
        <v/>
      </c>
    </row>
    <row r="5">
      <c r="A5" s="5" t="inlineStr">
        <is>
          <t xml:space="preserve">    关联收入 · T3 算力服务（互联）</t>
        </is>
      </c>
      <c r="B5" s="2" t="inlineStr">
        <is>
          <t>互联推理成本×70%</t>
        </is>
      </c>
      <c r="C5" s="8">
        <f>Assumptions!C31*Assumptions!C35*12*Assumptions!C52</f>
        <v/>
      </c>
      <c r="D5" s="8">
        <f>Assumptions!D31*Assumptions!D35*12*Assumptions!D52</f>
        <v/>
      </c>
      <c r="E5" s="8">
        <f>Assumptions!E31*Assumptions!E35*12*Assumptions!E52</f>
        <v/>
      </c>
      <c r="F5" s="8">
        <f>Assumptions!F31*Assumptions!F35*12*Assumptions!F52</f>
        <v/>
      </c>
      <c r="G5" s="8">
        <f>Assumptions!G31*Assumptions!G35*12*Assumptions!G52</f>
        <v/>
      </c>
    </row>
    <row r="6">
      <c r="A6" s="3" t="inlineStr">
        <is>
          <t xml:space="preserve">    营业收入合计</t>
        </is>
      </c>
      <c r="C6" s="23">
        <f>Cloud_IS!C4+Cloud_IS!C5</f>
        <v/>
      </c>
      <c r="D6" s="23">
        <f>Cloud_IS!D4+Cloud_IS!D5</f>
        <v/>
      </c>
      <c r="E6" s="23">
        <f>Cloud_IS!E4+Cloud_IS!E5</f>
        <v/>
      </c>
      <c r="F6" s="23">
        <f>Cloud_IS!F4+Cloud_IS!F5</f>
        <v/>
      </c>
      <c r="G6" s="23">
        <f>Cloud_IS!G4+Cloud_IS!G5</f>
        <v/>
      </c>
    </row>
    <row r="7">
      <c r="A7" s="5" t="inlineStr">
        <is>
          <t xml:space="preserve">    成本 · 推理算力（对外部分）</t>
        </is>
      </c>
      <c r="C7" s="8">
        <f>Assumptions!C11*36.5*Assumptions!C13</f>
        <v/>
      </c>
      <c r="D7" s="8">
        <f>Assumptions!D11*36.5*Assumptions!D13</f>
        <v/>
      </c>
      <c r="E7" s="8">
        <f>Assumptions!E11*36.5*Assumptions!E13</f>
        <v/>
      </c>
      <c r="F7" s="8">
        <f>Assumptions!F11*36.5*Assumptions!F13</f>
        <v/>
      </c>
      <c r="G7" s="8">
        <f>Assumptions!G11*36.5*Assumptions!G13</f>
        <v/>
      </c>
    </row>
    <row r="8">
      <c r="A8" s="5" t="inlineStr">
        <is>
          <t xml:space="preserve">    成本 · T3 服务成本</t>
        </is>
      </c>
      <c r="B8" s="2" t="inlineStr">
        <is>
          <t>内部价毛利率45%</t>
        </is>
      </c>
      <c r="C8" s="8">
        <f>Cloud_IS!C5*(1-Assumptions!C53)</f>
        <v/>
      </c>
      <c r="D8" s="8">
        <f>Cloud_IS!D5*(1-Assumptions!D53)</f>
        <v/>
      </c>
      <c r="E8" s="8">
        <f>Cloud_IS!E5*(1-Assumptions!E53)</f>
        <v/>
      </c>
      <c r="F8" s="8">
        <f>Cloud_IS!F5*(1-Assumptions!F53)</f>
        <v/>
      </c>
      <c r="G8" s="8">
        <f>Cloud_IS!G5*(1-Assumptions!G53)</f>
        <v/>
      </c>
    </row>
    <row r="9">
      <c r="A9" s="5" t="inlineStr">
        <is>
          <t xml:space="preserve">    成本 · 带宽机房</t>
        </is>
      </c>
      <c r="C9" s="8">
        <f>Assumptions!C14</f>
        <v/>
      </c>
      <c r="D9" s="8">
        <f>Assumptions!D14</f>
        <v/>
      </c>
      <c r="E9" s="8">
        <f>Assumptions!E14</f>
        <v/>
      </c>
      <c r="F9" s="8">
        <f>Assumptions!F14</f>
        <v/>
      </c>
      <c r="G9" s="8">
        <f>Assumptions!G14</f>
        <v/>
      </c>
    </row>
    <row r="10">
      <c r="A10" s="5" t="inlineStr">
        <is>
          <t xml:space="preserve">    成本 · T1 license 费</t>
        </is>
      </c>
      <c r="C10" s="8">
        <f>Cloud_IS!C4*Assumptions!C48</f>
        <v/>
      </c>
      <c r="D10" s="8">
        <f>Cloud_IS!D4*Assumptions!D48</f>
        <v/>
      </c>
      <c r="E10" s="8">
        <f>Cloud_IS!E4*Assumptions!E48</f>
        <v/>
      </c>
      <c r="F10" s="8">
        <f>Cloud_IS!F4*Assumptions!F48</f>
        <v/>
      </c>
      <c r="G10" s="8">
        <f>Cloud_IS!G4*Assumptions!G48</f>
        <v/>
      </c>
    </row>
    <row r="11">
      <c r="A11" s="3" t="inlineStr">
        <is>
          <t xml:space="preserve">    营业成本合计</t>
        </is>
      </c>
      <c r="C11" s="23">
        <f>SUM(Cloud_IS!C7,Cloud_IS!C8,Cloud_IS!C9,Cloud_IS!C10)</f>
        <v/>
      </c>
      <c r="D11" s="23">
        <f>SUM(Cloud_IS!D7,Cloud_IS!D8,Cloud_IS!D9,Cloud_IS!D10)</f>
        <v/>
      </c>
      <c r="E11" s="23">
        <f>SUM(Cloud_IS!E7,Cloud_IS!E8,Cloud_IS!E9,Cloud_IS!E10)</f>
        <v/>
      </c>
      <c r="F11" s="23">
        <f>SUM(Cloud_IS!F7,Cloud_IS!F8,Cloud_IS!F9,Cloud_IS!F10)</f>
        <v/>
      </c>
      <c r="G11" s="23">
        <f>SUM(Cloud_IS!G7,Cloud_IS!G8,Cloud_IS!G9,Cloud_IS!G10)</f>
        <v/>
      </c>
    </row>
    <row r="12">
      <c r="A12" s="3" t="inlineStr">
        <is>
          <t xml:space="preserve">    毛利润</t>
        </is>
      </c>
      <c r="C12" s="23">
        <f>Cloud_IS!C6-Cloud_IS!C11</f>
        <v/>
      </c>
      <c r="D12" s="23">
        <f>Cloud_IS!D6-Cloud_IS!D11</f>
        <v/>
      </c>
      <c r="E12" s="23">
        <f>Cloud_IS!E6-Cloud_IS!E11</f>
        <v/>
      </c>
      <c r="F12" s="23">
        <f>Cloud_IS!F6-Cloud_IS!F11</f>
        <v/>
      </c>
      <c r="G12" s="23">
        <f>Cloud_IS!G6-Cloud_IS!G11</f>
        <v/>
      </c>
    </row>
    <row r="13">
      <c r="A13" s="5" t="inlineStr">
        <is>
          <t xml:space="preserve">    研发费用</t>
        </is>
      </c>
      <c r="B13" s="2" t="inlineStr">
        <is>
          <t>编制×人均70万</t>
        </is>
      </c>
      <c r="C13" s="8">
        <f>Assumptions!C15*70</f>
        <v/>
      </c>
      <c r="D13" s="8">
        <f>Assumptions!D15*70</f>
        <v/>
      </c>
      <c r="E13" s="8">
        <f>Assumptions!E15*70</f>
        <v/>
      </c>
      <c r="F13" s="8">
        <f>Assumptions!F15*70</f>
        <v/>
      </c>
      <c r="G13" s="8">
        <f>Assumptions!G15*70</f>
        <v/>
      </c>
    </row>
    <row r="14">
      <c r="A14" s="5" t="inlineStr">
        <is>
          <t xml:space="preserve">    销售费用</t>
        </is>
      </c>
      <c r="B14" s="2" t="inlineStr">
        <is>
          <t>×60万</t>
        </is>
      </c>
      <c r="C14" s="8">
        <f>Assumptions!C16*60</f>
        <v/>
      </c>
      <c r="D14" s="8">
        <f>Assumptions!D16*60</f>
        <v/>
      </c>
      <c r="E14" s="8">
        <f>Assumptions!E16*60</f>
        <v/>
      </c>
      <c r="F14" s="8">
        <f>Assumptions!F16*60</f>
        <v/>
      </c>
      <c r="G14" s="8">
        <f>Assumptions!G16*60</f>
        <v/>
      </c>
    </row>
    <row r="15">
      <c r="A15" s="5" t="inlineStr">
        <is>
          <t xml:space="preserve">    管理费用</t>
        </is>
      </c>
      <c r="B15" s="2" t="inlineStr">
        <is>
          <t>×55万</t>
        </is>
      </c>
      <c r="C15" s="8">
        <f>Assumptions!C17*55</f>
        <v/>
      </c>
      <c r="D15" s="8">
        <f>Assumptions!D17*55</f>
        <v/>
      </c>
      <c r="E15" s="8">
        <f>Assumptions!E17*55</f>
        <v/>
      </c>
      <c r="F15" s="8">
        <f>Assumptions!F17*55</f>
        <v/>
      </c>
      <c r="G15" s="8">
        <f>Assumptions!G17*55</f>
        <v/>
      </c>
    </row>
    <row r="16">
      <c r="A16" s="3" t="inlineStr">
        <is>
          <t xml:space="preserve">    EBIT</t>
        </is>
      </c>
      <c r="C16" s="23">
        <f>Cloud_IS!C12-Cloud_IS!C13-Cloud_IS!C14-Cloud_IS!C15</f>
        <v/>
      </c>
      <c r="D16" s="23">
        <f>Cloud_IS!D12-Cloud_IS!D13-Cloud_IS!D14-Cloud_IS!D15</f>
        <v/>
      </c>
      <c r="E16" s="23">
        <f>Cloud_IS!E12-Cloud_IS!E13-Cloud_IS!E14-Cloud_IS!E15</f>
        <v/>
      </c>
      <c r="F16" s="23">
        <f>Cloud_IS!F12-Cloud_IS!F13-Cloud_IS!F14-Cloud_IS!F15</f>
        <v/>
      </c>
      <c r="G16" s="23">
        <f>Cloud_IS!G12-Cloud_IS!G13-Cloud_IS!G14-Cloud_IS!G15</f>
        <v/>
      </c>
    </row>
    <row r="17">
      <c r="A17" s="5" t="inlineStr">
        <is>
          <t xml:space="preserve">    所得税</t>
        </is>
      </c>
      <c r="C17" s="8">
        <f>MAX(0,Cloud_IS!C16)*Assumptions!C5</f>
        <v/>
      </c>
      <c r="D17" s="8">
        <f>MAX(0,Cloud_IS!D16)*Assumptions!D5</f>
        <v/>
      </c>
      <c r="E17" s="8">
        <f>MAX(0,Cloud_IS!E16)*Assumptions!E5</f>
        <v/>
      </c>
      <c r="F17" s="8">
        <f>MAX(0,Cloud_IS!F16)*Assumptions!F5</f>
        <v/>
      </c>
      <c r="G17" s="8">
        <f>MAX(0,Cloud_IS!G16)*Assumptions!G5</f>
        <v/>
      </c>
    </row>
    <row r="18">
      <c r="A18" s="3" t="inlineStr">
        <is>
          <t xml:space="preserve">    净利润</t>
        </is>
      </c>
      <c r="C18" s="23">
        <f>Cloud_IS!C16-Cloud_IS!C17</f>
        <v/>
      </c>
      <c r="D18" s="23">
        <f>Cloud_IS!D16-Cloud_IS!D17</f>
        <v/>
      </c>
      <c r="E18" s="23">
        <f>Cloud_IS!E16-Cloud_IS!E17</f>
        <v/>
      </c>
      <c r="F18" s="23">
        <f>Cloud_IS!F16-Cloud_IS!F17</f>
        <v/>
      </c>
      <c r="G18" s="23">
        <f>Cloud_IS!G16-Cloud_IS!G17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智擎云 · 资产负债表+现金流量表</t>
        </is>
      </c>
    </row>
    <row r="2">
      <c r="A2" s="2" t="inlineStr">
        <is>
          <t>单体半厚 | BS在上 CF在下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C5" s="8">
        <f>Cloud_IS!C4*Assumptions!C6/365</f>
        <v/>
      </c>
      <c r="D5" s="8">
        <f>Cloud_IS!D4*Assumptions!D6/365</f>
        <v/>
      </c>
      <c r="E5" s="8">
        <f>Cloud_IS!E4*Assumptions!E6/365</f>
        <v/>
      </c>
      <c r="F5" s="8">
        <f>Cloud_IS!F4*Assumptions!F6/365</f>
        <v/>
      </c>
      <c r="G5" s="8">
        <f>Cloud_IS!G4*Assumptions!G6/365</f>
        <v/>
      </c>
    </row>
    <row r="6">
      <c r="A6" s="5" t="inlineStr">
        <is>
          <t xml:space="preserve">    内部应收（互联 T3）</t>
        </is>
      </c>
      <c r="B6" s="2" t="inlineStr">
        <is>
          <t>2027 含 cut-off 未开票 −220</t>
        </is>
      </c>
      <c r="C6" s="8">
        <f>(Assumptions!C31*Assumptions!C35*12*Assumptions!C52)*Assumptions!C8/365</f>
        <v/>
      </c>
      <c r="D6" s="8">
        <f>(Assumptions!D31*Assumptions!D35*12*Assumptions!D52)*Assumptions!D8/365</f>
        <v/>
      </c>
      <c r="E6" s="8">
        <f>(Assumptions!E31*Assumptions!E35*12*Assumptions!E52)*Assumptions!E8/365</f>
        <v/>
      </c>
      <c r="F6" s="8">
        <f>(Assumptions!F31*Assumptions!F35*12*Assumptions!F52)*Assumptions!F8/365</f>
        <v/>
      </c>
      <c r="G6" s="8">
        <f>(Assumptions!G31*Assumptions!G35*12*Assumptions!G52)*Assumptions!G8/365-Assumptions!G54</f>
        <v/>
      </c>
    </row>
    <row r="7">
      <c r="A7" s="5" t="inlineStr">
        <is>
          <t xml:space="preserve">    固定资产 · 推理 GPU 净值</t>
        </is>
      </c>
      <c r="C7" s="8">
        <f>Capex_Dep!C25</f>
        <v/>
      </c>
      <c r="D7" s="8">
        <f>Capex_Dep!D25</f>
        <v/>
      </c>
      <c r="E7" s="8">
        <f>Capex_Dep!E25</f>
        <v/>
      </c>
      <c r="F7" s="8">
        <f>Capex_Dep!F25</f>
        <v/>
      </c>
      <c r="G7" s="8">
        <f>Capex_Dep!G25</f>
        <v/>
      </c>
    </row>
    <row r="8">
      <c r="A8" s="3" t="inlineStr">
        <is>
          <t>非现金资产合计</t>
        </is>
      </c>
      <c r="C8" s="23">
        <f>Cloud_BS_CF!C5+Cloud_BS_CF!C6+Cloud_BS_CF!C7</f>
        <v/>
      </c>
      <c r="D8" s="23">
        <f>Cloud_BS_CF!D5+Cloud_BS_CF!D6+Cloud_BS_CF!D7</f>
        <v/>
      </c>
      <c r="E8" s="23">
        <f>Cloud_BS_CF!E5+Cloud_BS_CF!E6+Cloud_BS_CF!E7</f>
        <v/>
      </c>
      <c r="F8" s="23">
        <f>Cloud_BS_CF!F5+Cloud_BS_CF!F6+Cloud_BS_CF!F7</f>
        <v/>
      </c>
      <c r="G8" s="23">
        <f>Cloud_BS_CF!G5+Cloud_BS_CF!G6+Cloud_BS_CF!G7</f>
        <v/>
      </c>
    </row>
    <row r="9">
      <c r="A9" s="5" t="inlineStr">
        <is>
          <t xml:space="preserve">    应付账款</t>
        </is>
      </c>
      <c r="C9" s="8">
        <f>(Cloud_IS!C11+Cloud_IS!C13+Cloud_IS!C14+Cloud_IS!C15-Capex_Dep!C24)*Assumptions!C7/365</f>
        <v/>
      </c>
      <c r="D9" s="8">
        <f>(Cloud_IS!D11+Cloud_IS!D13+Cloud_IS!D14+Cloud_IS!D15-Capex_Dep!D24)*Assumptions!D7/365</f>
        <v/>
      </c>
      <c r="E9" s="8">
        <f>(Cloud_IS!E11+Cloud_IS!E13+Cloud_IS!E14+Cloud_IS!E15-Capex_Dep!E24)*Assumptions!E7/365</f>
        <v/>
      </c>
      <c r="F9" s="8">
        <f>(Cloud_IS!F11+Cloud_IS!F13+Cloud_IS!F14+Cloud_IS!F15-Capex_Dep!F24)*Assumptions!F7/365</f>
        <v/>
      </c>
      <c r="G9" s="8">
        <f>(Cloud_IS!G11+Cloud_IS!G13+Cloud_IS!G14+Cloud_IS!G15-Capex_Dep!G24)*Assumptions!G7/365</f>
        <v/>
      </c>
    </row>
    <row r="10">
      <c r="A10" s="5" t="inlineStr">
        <is>
          <t xml:space="preserve">    内部应付（研究院 T1）</t>
        </is>
      </c>
      <c r="C10" s="8">
        <f>Cloud_IS!C10*Assumptions!C8/365</f>
        <v/>
      </c>
      <c r="D10" s="8">
        <f>Cloud_IS!D10*Assumptions!D8/365</f>
        <v/>
      </c>
      <c r="E10" s="8">
        <f>Cloud_IS!E10*Assumptions!E8/365</f>
        <v/>
      </c>
      <c r="F10" s="8">
        <f>Cloud_IS!F10*Assumptions!F8/365</f>
        <v/>
      </c>
      <c r="G10" s="8">
        <f>Cloud_IS!G10*Assumptions!G8/365</f>
        <v/>
      </c>
    </row>
    <row r="11">
      <c r="A11" s="5" t="inlineStr">
        <is>
          <t xml:space="preserve">    递延收益</t>
        </is>
      </c>
      <c r="C11" s="8">
        <f>Cloud_IS!C6*Assumptions!C77</f>
        <v/>
      </c>
      <c r="D11" s="8">
        <f>Cloud_IS!D6*Assumptions!D77</f>
        <v/>
      </c>
      <c r="E11" s="8">
        <f>Cloud_IS!E6*Assumptions!E77</f>
        <v/>
      </c>
      <c r="F11" s="8">
        <f>Cloud_IS!F6*Assumptions!F77</f>
        <v/>
      </c>
      <c r="G11" s="8">
        <f>Cloud_IS!G6*Assumptions!G77</f>
        <v/>
      </c>
    </row>
    <row r="12">
      <c r="A12" s="3" t="inlineStr">
        <is>
          <t>负债合计</t>
        </is>
      </c>
      <c r="C12" s="23">
        <f>Cloud_BS_CF!C9+Cloud_BS_CF!C10+Cloud_BS_CF!C11</f>
        <v/>
      </c>
      <c r="D12" s="23">
        <f>Cloud_BS_CF!D9+Cloud_BS_CF!D10+Cloud_BS_CF!D11</f>
        <v/>
      </c>
      <c r="E12" s="23">
        <f>Cloud_BS_CF!E9+Cloud_BS_CF!E10+Cloud_BS_CF!E11</f>
        <v/>
      </c>
      <c r="F12" s="23">
        <f>Cloud_BS_CF!F9+Cloud_BS_CF!F10+Cloud_BS_CF!F11</f>
        <v/>
      </c>
      <c r="G12" s="23">
        <f>Cloud_BS_CF!G9+Cloud_BS_CF!G10+Cloud_BS_CF!G11</f>
        <v/>
      </c>
    </row>
    <row r="13">
      <c r="A13" s="5" t="inlineStr">
        <is>
          <t xml:space="preserve">    实收资本</t>
        </is>
      </c>
      <c r="C13" s="8">
        <f>Assumptions!C69+Assumptions!C57</f>
        <v/>
      </c>
      <c r="D13" s="8">
        <f>C13+Assumptions!D57</f>
        <v/>
      </c>
      <c r="E13" s="8">
        <f>D13+Assumptions!E57</f>
        <v/>
      </c>
      <c r="F13" s="8">
        <f>E13+Assumptions!F57</f>
        <v/>
      </c>
      <c r="G13" s="8">
        <f>F13+Assumptions!G57</f>
        <v/>
      </c>
    </row>
    <row r="14">
      <c r="A14" s="5" t="inlineStr">
        <is>
          <t xml:space="preserve">    未分配利润</t>
        </is>
      </c>
      <c r="C14" s="8">
        <f>Assumptions!C68+Cloud_IS!C18</f>
        <v/>
      </c>
      <c r="D14" s="8">
        <f>C14+Cloud_IS!D18</f>
        <v/>
      </c>
      <c r="E14" s="8">
        <f>D14+Cloud_IS!E18</f>
        <v/>
      </c>
      <c r="F14" s="8">
        <f>E14+Cloud_IS!F18</f>
        <v/>
      </c>
      <c r="G14" s="8">
        <f>F14+Cloud_IS!G18</f>
        <v/>
      </c>
    </row>
    <row r="15">
      <c r="A15" s="26" t="inlineStr">
        <is>
          <t>货币资金（倒挤）</t>
        </is>
      </c>
      <c r="C15" s="27">
        <f>Cloud_BS_CF!C12+Cloud_BS_CF!C13+Cloud_BS_CF!C14-Cloud_BS_CF!C8</f>
        <v/>
      </c>
      <c r="D15" s="27">
        <f>Cloud_BS_CF!D12+Cloud_BS_CF!D13+Cloud_BS_CF!D14-Cloud_BS_CF!D8</f>
        <v/>
      </c>
      <c r="E15" s="27">
        <f>Cloud_BS_CF!E12+Cloud_BS_CF!E13+Cloud_BS_CF!E14-Cloud_BS_CF!E8</f>
        <v/>
      </c>
      <c r="F15" s="27">
        <f>Cloud_BS_CF!F12+Cloud_BS_CF!F13+Cloud_BS_CF!F14-Cloud_BS_CF!F8</f>
        <v/>
      </c>
      <c r="G15" s="27">
        <f>Cloud_BS_CF!G12+Cloud_BS_CF!G13+Cloud_BS_CF!G14-Cloud_BS_CF!G8</f>
        <v/>
      </c>
    </row>
    <row r="16">
      <c r="A16" s="13" t="inlineStr">
        <is>
          <t>── 现金流量表（间接法）──</t>
        </is>
      </c>
    </row>
    <row r="17">
      <c r="A17" s="5" t="inlineStr">
        <is>
          <t xml:space="preserve">    净利润</t>
        </is>
      </c>
      <c r="C17" s="8">
        <f>Cloud_IS!C18</f>
        <v/>
      </c>
      <c r="D17" s="8">
        <f>Cloud_IS!D18</f>
        <v/>
      </c>
      <c r="E17" s="8">
        <f>Cloud_IS!E18</f>
        <v/>
      </c>
      <c r="F17" s="8">
        <f>Cloud_IS!F18</f>
        <v/>
      </c>
      <c r="G17" s="8">
        <f>Cloud_IS!G18</f>
        <v/>
      </c>
    </row>
    <row r="18">
      <c r="A18" s="5" t="inlineStr">
        <is>
          <t xml:space="preserve">    加：折旧</t>
        </is>
      </c>
      <c r="C18" s="8">
        <f>Capex_Dep!C24</f>
        <v/>
      </c>
      <c r="D18" s="8">
        <f>Capex_Dep!D24</f>
        <v/>
      </c>
      <c r="E18" s="8">
        <f>Capex_Dep!E24</f>
        <v/>
      </c>
      <c r="F18" s="8">
        <f>Capex_Dep!F24</f>
        <v/>
      </c>
      <c r="G18" s="8">
        <f>Capex_Dep!G24</f>
        <v/>
      </c>
    </row>
    <row r="19">
      <c r="A19" s="5" t="inlineStr">
        <is>
          <t xml:space="preserve">    减：应收增加</t>
        </is>
      </c>
      <c r="C19" s="8">
        <f>-(Cloud_BS_CF!C5-(0))</f>
        <v/>
      </c>
      <c r="D19" s="8">
        <f>-(Cloud_BS_CF!D5-(Cloud_BS_CF!C5))</f>
        <v/>
      </c>
      <c r="E19" s="8">
        <f>-(Cloud_BS_CF!E5-(Cloud_BS_CF!D5))</f>
        <v/>
      </c>
      <c r="F19" s="8">
        <f>-(Cloud_BS_CF!F5-(Cloud_BS_CF!E5))</f>
        <v/>
      </c>
      <c r="G19" s="8">
        <f>-(Cloud_BS_CF!G5-(Cloud_BS_CF!F5))</f>
        <v/>
      </c>
    </row>
    <row r="20">
      <c r="A20" s="5" t="inlineStr">
        <is>
          <t xml:space="preserve">    内部往来净变动</t>
        </is>
      </c>
      <c r="C20" s="8">
        <f>(Cloud_BS_CF!C10-(0))-(Cloud_BS_CF!C6-(0))</f>
        <v/>
      </c>
      <c r="D20" s="8">
        <f>(Cloud_BS_CF!D10-(Cloud_BS_CF!C10))-(Cloud_BS_CF!D6-(Cloud_BS_CF!C6))</f>
        <v/>
      </c>
      <c r="E20" s="8">
        <f>(Cloud_BS_CF!E10-(Cloud_BS_CF!D10))-(Cloud_BS_CF!E6-(Cloud_BS_CF!D6))</f>
        <v/>
      </c>
      <c r="F20" s="8">
        <f>(Cloud_BS_CF!F10-(Cloud_BS_CF!E10))-(Cloud_BS_CF!F6-(Cloud_BS_CF!E6))</f>
        <v/>
      </c>
      <c r="G20" s="8">
        <f>(Cloud_BS_CF!G10-(Cloud_BS_CF!F10))-(Cloud_BS_CF!G6-(Cloud_BS_CF!F6))</f>
        <v/>
      </c>
    </row>
    <row r="21">
      <c r="A21" s="5" t="inlineStr">
        <is>
          <t xml:space="preserve">    加：递延增加</t>
        </is>
      </c>
      <c r="C21" s="8">
        <f>Cloud_BS_CF!C11-(0)</f>
        <v/>
      </c>
      <c r="D21" s="8">
        <f>Cloud_BS_CF!D11-(Cloud_BS_CF!C11)</f>
        <v/>
      </c>
      <c r="E21" s="8">
        <f>Cloud_BS_CF!E11-(Cloud_BS_CF!D11)</f>
        <v/>
      </c>
      <c r="F21" s="8">
        <f>Cloud_BS_CF!F11-(Cloud_BS_CF!E11)</f>
        <v/>
      </c>
      <c r="G21" s="8">
        <f>Cloud_BS_CF!G11-(Cloud_BS_CF!F11)</f>
        <v/>
      </c>
    </row>
    <row r="22">
      <c r="A22" s="5" t="inlineStr">
        <is>
          <t xml:space="preserve">    加：应付增加</t>
        </is>
      </c>
      <c r="C22" s="8">
        <f>Cloud_BS_CF!C9-(0)</f>
        <v/>
      </c>
      <c r="D22" s="8">
        <f>Cloud_BS_CF!D9-(Cloud_BS_CF!C9)</f>
        <v/>
      </c>
      <c r="E22" s="8">
        <f>Cloud_BS_CF!E9-(Cloud_BS_CF!D9)</f>
        <v/>
      </c>
      <c r="F22" s="8">
        <f>Cloud_BS_CF!F9-(Cloud_BS_CF!E9)</f>
        <v/>
      </c>
      <c r="G22" s="8">
        <f>Cloud_BS_CF!G9-(Cloud_BS_CF!F9)</f>
        <v/>
      </c>
    </row>
    <row r="23">
      <c r="A23" s="3" t="inlineStr">
        <is>
          <t xml:space="preserve">    经营现金流</t>
        </is>
      </c>
      <c r="C23" s="23">
        <f>Cloud_BS_CF!C17+Cloud_BS_CF!C18+Cloud_BS_CF!C19+Cloud_BS_CF!C20+Cloud_BS_CF!C21+Cloud_BS_CF!C22</f>
        <v/>
      </c>
      <c r="D23" s="23">
        <f>Cloud_BS_CF!D17+Cloud_BS_CF!D18+Cloud_BS_CF!D19+Cloud_BS_CF!D20+Cloud_BS_CF!D21+Cloud_BS_CF!D22</f>
        <v/>
      </c>
      <c r="E23" s="23">
        <f>Cloud_BS_CF!E17+Cloud_BS_CF!E18+Cloud_BS_CF!E19+Cloud_BS_CF!E20+Cloud_BS_CF!E21+Cloud_BS_CF!E22</f>
        <v/>
      </c>
      <c r="F23" s="23">
        <f>Cloud_BS_CF!F17+Cloud_BS_CF!F18+Cloud_BS_CF!F19+Cloud_BS_CF!F20+Cloud_BS_CF!F21+Cloud_BS_CF!F22</f>
        <v/>
      </c>
      <c r="G23" s="23">
        <f>Cloud_BS_CF!G17+Cloud_BS_CF!G18+Cloud_BS_CF!G19+Cloud_BS_CF!G20+Cloud_BS_CF!G21+Cloud_BS_CF!G22</f>
        <v/>
      </c>
    </row>
    <row r="24">
      <c r="A24" s="5" t="inlineStr">
        <is>
          <t xml:space="preserve">    投资现金流</t>
        </is>
      </c>
      <c r="C24" s="8">
        <f>-Capex_Dep!C6</f>
        <v/>
      </c>
      <c r="D24" s="8">
        <f>-Capex_Dep!D6</f>
        <v/>
      </c>
      <c r="E24" s="8">
        <f>-Capex_Dep!E6</f>
        <v/>
      </c>
      <c r="F24" s="8">
        <f>-Capex_Dep!F6</f>
        <v/>
      </c>
      <c r="G24" s="8">
        <f>-Capex_Dep!G6</f>
        <v/>
      </c>
    </row>
    <row r="25">
      <c r="A25" s="5" t="inlineStr">
        <is>
          <t xml:space="preserve">    筹资：股权注资</t>
        </is>
      </c>
      <c r="C25" s="8">
        <f>Assumptions!C57</f>
        <v/>
      </c>
      <c r="D25" s="8">
        <f>Assumptions!D57</f>
        <v/>
      </c>
      <c r="E25" s="8">
        <f>Assumptions!E57</f>
        <v/>
      </c>
      <c r="F25" s="8">
        <f>Assumptions!F57</f>
        <v/>
      </c>
      <c r="G25" s="8">
        <f>Assumptions!G57</f>
        <v/>
      </c>
    </row>
    <row r="26">
      <c r="A26" s="3" t="inlineStr">
        <is>
          <t xml:space="preserve">    现金净变动</t>
        </is>
      </c>
      <c r="C26" s="23">
        <f>Cloud_BS_CF!C23+Cloud_BS_CF!C24+Cloud_BS_CF!C25</f>
        <v/>
      </c>
      <c r="D26" s="23">
        <f>Cloud_BS_CF!D23+Cloud_BS_CF!D24+Cloud_BS_CF!D25</f>
        <v/>
      </c>
      <c r="E26" s="23">
        <f>Cloud_BS_CF!E23+Cloud_BS_CF!E24+Cloud_BS_CF!E25</f>
        <v/>
      </c>
      <c r="F26" s="23">
        <f>Cloud_BS_CF!F23+Cloud_BS_CF!F24+Cloud_BS_CF!F25</f>
        <v/>
      </c>
      <c r="G26" s="23">
        <f>Cloud_BS_CF!G23+Cloud_BS_CF!G24+Cloud_BS_CF!G25</f>
        <v/>
      </c>
    </row>
    <row r="27">
      <c r="A27" s="3" t="inlineStr">
        <is>
          <t xml:space="preserve">    期末现金（CF）</t>
        </is>
      </c>
      <c r="C27" s="23">
        <f>10000+Cloud_BS_CF!C26</f>
        <v/>
      </c>
      <c r="D27" s="23">
        <f>C27+Cloud_BS_CF!D26</f>
        <v/>
      </c>
      <c r="E27" s="23">
        <f>D27+Cloud_BS_CF!E26</f>
        <v/>
      </c>
      <c r="F27" s="23">
        <f>E27+Cloud_BS_CF!F26</f>
        <v/>
      </c>
      <c r="G27" s="23">
        <f>F27+Cloud_BS_CF!G26</f>
        <v/>
      </c>
    </row>
    <row r="28">
      <c r="A28" s="3" t="inlineStr">
        <is>
          <t>★ CF=BS 差异（应全 0）</t>
        </is>
      </c>
      <c r="C28" s="24" t="n"/>
      <c r="D28" s="24" t="n"/>
      <c r="E28" s="24" t="n"/>
      <c r="F28" s="24" t="n"/>
      <c r="G28" s="24" t="n"/>
    </row>
    <row r="29">
      <c r="A29" s="5" t="inlineStr">
        <is>
          <t xml:space="preserve">  CF推导 − BS倒挤</t>
        </is>
      </c>
      <c r="C29" s="28">
        <f>Cloud_BS_CF!C27-Cloud_BS_CF!C15</f>
        <v/>
      </c>
      <c r="D29" s="28">
        <f>Cloud_BS_CF!D27-Cloud_BS_CF!D15</f>
        <v/>
      </c>
      <c r="E29" s="28">
        <f>Cloud_BS_CF!E27-Cloud_BS_CF!E15</f>
        <v/>
      </c>
      <c r="F29" s="28">
        <f>Cloud_BS_CF!F27-Cloud_BS_CF!F15</f>
        <v/>
      </c>
      <c r="G29" s="28">
        <f>Cloud_BS_CF!G27-Cloud_BS_CF!G15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智擎行业 · 利润表</t>
        </is>
      </c>
    </row>
    <row r="2">
      <c r="A2" s="2" t="inlineStr">
        <is>
          <t>单体 | 私有化部署 + 行业解决方案 双业务线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收入 · 私有化部署</t>
        </is>
      </c>
      <c r="B4" s="2" t="inlineStr">
        <is>
          <t>项目数×合同额</t>
        </is>
      </c>
      <c r="C4" s="8">
        <f>Assumptions!C21*Assumptions!C22</f>
        <v/>
      </c>
      <c r="D4" s="8">
        <f>Assumptions!D21*Assumptions!D22</f>
        <v/>
      </c>
      <c r="E4" s="8">
        <f>Assumptions!E21*Assumptions!E22</f>
        <v/>
      </c>
      <c r="F4" s="8">
        <f>Assumptions!F21*Assumptions!F22</f>
        <v/>
      </c>
      <c r="G4" s="8">
        <f>Assumptions!G21*Assumptions!G22</f>
        <v/>
      </c>
    </row>
    <row r="5">
      <c r="A5" s="5" t="inlineStr">
        <is>
          <t xml:space="preserve">    收入 · 行业解决方案</t>
        </is>
      </c>
      <c r="B5" s="2" t="inlineStr">
        <is>
          <t>签约客户×年费</t>
        </is>
      </c>
      <c r="C5" s="8">
        <f>Assumptions!C23*Assumptions!C24</f>
        <v/>
      </c>
      <c r="D5" s="8">
        <f>Assumptions!D23*Assumptions!D24</f>
        <v/>
      </c>
      <c r="E5" s="8">
        <f>Assumptions!E23*Assumptions!E24</f>
        <v/>
      </c>
      <c r="F5" s="8">
        <f>Assumptions!F23*Assumptions!F24</f>
        <v/>
      </c>
      <c r="G5" s="8">
        <f>Assumptions!G23*Assumptions!G24</f>
        <v/>
      </c>
    </row>
    <row r="6">
      <c r="A6" s="3" t="inlineStr">
        <is>
          <t xml:space="preserve">    对外收入合计</t>
        </is>
      </c>
      <c r="C6" s="23">
        <f>Ind_IS!C4+Ind_IS!C5</f>
        <v/>
      </c>
      <c r="D6" s="23">
        <f>Ind_IS!D4+Ind_IS!D5</f>
        <v/>
      </c>
      <c r="E6" s="23">
        <f>Ind_IS!E4+Ind_IS!E5</f>
        <v/>
      </c>
      <c r="F6" s="23">
        <f>Ind_IS!F4+Ind_IS!F5</f>
        <v/>
      </c>
      <c r="G6" s="23">
        <f>Ind_IS!G4+Ind_IS!G5</f>
        <v/>
      </c>
    </row>
    <row r="7">
      <c r="A7" s="5" t="inlineStr">
        <is>
          <t xml:space="preserve">    成本 · 私有化（硬件+人力）</t>
        </is>
      </c>
      <c r="C7" s="8">
        <f>Ind_IS!C4*Assumptions!C25</f>
        <v/>
      </c>
      <c r="D7" s="8">
        <f>Ind_IS!D4*Assumptions!D25</f>
        <v/>
      </c>
      <c r="E7" s="8">
        <f>Ind_IS!E4*Assumptions!E25</f>
        <v/>
      </c>
      <c r="F7" s="8">
        <f>Ind_IS!F4*Assumptions!F25</f>
        <v/>
      </c>
      <c r="G7" s="8">
        <f>Ind_IS!G4*Assumptions!G25</f>
        <v/>
      </c>
    </row>
    <row r="8">
      <c r="A8" s="5" t="inlineStr">
        <is>
          <t xml:space="preserve">    成本 · 解决方案</t>
        </is>
      </c>
      <c r="C8" s="8">
        <f>Ind_IS!C5*Assumptions!C26</f>
        <v/>
      </c>
      <c r="D8" s="8">
        <f>Ind_IS!D5*Assumptions!D26</f>
        <v/>
      </c>
      <c r="E8" s="8">
        <f>Ind_IS!E5*Assumptions!E26</f>
        <v/>
      </c>
      <c r="F8" s="8">
        <f>Ind_IS!F5*Assumptions!F26</f>
        <v/>
      </c>
      <c r="G8" s="8">
        <f>Ind_IS!G5*Assumptions!G26</f>
        <v/>
      </c>
    </row>
    <row r="9">
      <c r="A9" s="5" t="inlineStr">
        <is>
          <t xml:space="preserve">    成本 · T1 license 费</t>
        </is>
      </c>
      <c r="C9" s="8">
        <f>Ind_IS!C6*Assumptions!C49</f>
        <v/>
      </c>
      <c r="D9" s="8">
        <f>Ind_IS!D6*Assumptions!D49</f>
        <v/>
      </c>
      <c r="E9" s="8">
        <f>Ind_IS!E6*Assumptions!E49</f>
        <v/>
      </c>
      <c r="F9" s="8">
        <f>Ind_IS!F6*Assumptions!F49</f>
        <v/>
      </c>
      <c r="G9" s="8">
        <f>Ind_IS!G6*Assumptions!G49</f>
        <v/>
      </c>
    </row>
    <row r="10">
      <c r="A10" s="5" t="inlineStr">
        <is>
          <t xml:space="preserve">    成本 · T2 定制研发</t>
        </is>
      </c>
      <c r="C10" s="8">
        <f>Assumptions!C51</f>
        <v/>
      </c>
      <c r="D10" s="8">
        <f>Assumptions!D51</f>
        <v/>
      </c>
      <c r="E10" s="8">
        <f>Assumptions!E51</f>
        <v/>
      </c>
      <c r="F10" s="8">
        <f>Assumptions!F51</f>
        <v/>
      </c>
      <c r="G10" s="8">
        <f>Assumptions!G51</f>
        <v/>
      </c>
    </row>
    <row r="11">
      <c r="A11" s="3" t="inlineStr">
        <is>
          <t xml:space="preserve">    营业成本合计</t>
        </is>
      </c>
      <c r="C11" s="23">
        <f>SUM(Ind_IS!C7,Ind_IS!C8,Ind_IS!C9,Ind_IS!C10)</f>
        <v/>
      </c>
      <c r="D11" s="23">
        <f>SUM(Ind_IS!D7,Ind_IS!D8,Ind_IS!D9,Ind_IS!D10)</f>
        <v/>
      </c>
      <c r="E11" s="23">
        <f>SUM(Ind_IS!E7,Ind_IS!E8,Ind_IS!E9,Ind_IS!E10)</f>
        <v/>
      </c>
      <c r="F11" s="23">
        <f>SUM(Ind_IS!F7,Ind_IS!F8,Ind_IS!F9,Ind_IS!F10)</f>
        <v/>
      </c>
      <c r="G11" s="23">
        <f>SUM(Ind_IS!G7,Ind_IS!G8,Ind_IS!G9,Ind_IS!G10)</f>
        <v/>
      </c>
    </row>
    <row r="12">
      <c r="A12" s="3" t="inlineStr">
        <is>
          <t xml:space="preserve">    毛利润</t>
        </is>
      </c>
      <c r="C12" s="23">
        <f>Ind_IS!C6-Ind_IS!C11</f>
        <v/>
      </c>
      <c r="D12" s="23">
        <f>Ind_IS!D6-Ind_IS!D11</f>
        <v/>
      </c>
      <c r="E12" s="23">
        <f>Ind_IS!E6-Ind_IS!E11</f>
        <v/>
      </c>
      <c r="F12" s="23">
        <f>Ind_IS!F6-Ind_IS!F11</f>
        <v/>
      </c>
      <c r="G12" s="23">
        <f>Ind_IS!G6-Ind_IS!G11</f>
        <v/>
      </c>
    </row>
    <row r="13">
      <c r="A13" s="5" t="inlineStr">
        <is>
          <t xml:space="preserve">    研发费用</t>
        </is>
      </c>
      <c r="B13" s="2" t="inlineStr">
        <is>
          <t>×70万</t>
        </is>
      </c>
      <c r="C13" s="8">
        <f>Assumptions!C27*70</f>
        <v/>
      </c>
      <c r="D13" s="8">
        <f>Assumptions!D27*70</f>
        <v/>
      </c>
      <c r="E13" s="8">
        <f>Assumptions!E27*70</f>
        <v/>
      </c>
      <c r="F13" s="8">
        <f>Assumptions!F27*70</f>
        <v/>
      </c>
      <c r="G13" s="8">
        <f>Assumptions!G27*70</f>
        <v/>
      </c>
    </row>
    <row r="14">
      <c r="A14" s="5" t="inlineStr">
        <is>
          <t xml:space="preserve">    销售费用</t>
        </is>
      </c>
      <c r="B14" s="2" t="inlineStr">
        <is>
          <t>×60万</t>
        </is>
      </c>
      <c r="C14" s="8">
        <f>Assumptions!C28*60</f>
        <v/>
      </c>
      <c r="D14" s="8">
        <f>Assumptions!D28*60</f>
        <v/>
      </c>
      <c r="E14" s="8">
        <f>Assumptions!E28*60</f>
        <v/>
      </c>
      <c r="F14" s="8">
        <f>Assumptions!F28*60</f>
        <v/>
      </c>
      <c r="G14" s="8">
        <f>Assumptions!G28*60</f>
        <v/>
      </c>
    </row>
    <row r="15">
      <c r="A15" s="5" t="inlineStr">
        <is>
          <t xml:space="preserve">    管理费用</t>
        </is>
      </c>
      <c r="B15" s="2" t="inlineStr">
        <is>
          <t>×55万</t>
        </is>
      </c>
      <c r="C15" s="8">
        <f>Assumptions!C29*55</f>
        <v/>
      </c>
      <c r="D15" s="8">
        <f>Assumptions!D29*55</f>
        <v/>
      </c>
      <c r="E15" s="8">
        <f>Assumptions!E29*55</f>
        <v/>
      </c>
      <c r="F15" s="8">
        <f>Assumptions!F29*55</f>
        <v/>
      </c>
      <c r="G15" s="8">
        <f>Assumptions!G29*55</f>
        <v/>
      </c>
    </row>
    <row r="16">
      <c r="A16" s="3" t="inlineStr">
        <is>
          <t xml:space="preserve">    EBIT</t>
        </is>
      </c>
      <c r="C16" s="23">
        <f>Ind_IS!C12-Ind_IS!C13-Ind_IS!C14-Ind_IS!C15</f>
        <v/>
      </c>
      <c r="D16" s="23">
        <f>Ind_IS!D12-Ind_IS!D13-Ind_IS!D14-Ind_IS!D15</f>
        <v/>
      </c>
      <c r="E16" s="23">
        <f>Ind_IS!E12-Ind_IS!E13-Ind_IS!E14-Ind_IS!E15</f>
        <v/>
      </c>
      <c r="F16" s="23">
        <f>Ind_IS!F12-Ind_IS!F13-Ind_IS!F14-Ind_IS!F15</f>
        <v/>
      </c>
      <c r="G16" s="23">
        <f>Ind_IS!G12-Ind_IS!G13-Ind_IS!G14-Ind_IS!G15</f>
        <v/>
      </c>
    </row>
    <row r="17">
      <c r="A17" s="5" t="inlineStr">
        <is>
          <t xml:space="preserve">    所得税</t>
        </is>
      </c>
      <c r="C17" s="8">
        <f>MAX(0,Ind_IS!C16)*Assumptions!C5</f>
        <v/>
      </c>
      <c r="D17" s="8">
        <f>MAX(0,Ind_IS!D16)*Assumptions!D5</f>
        <v/>
      </c>
      <c r="E17" s="8">
        <f>MAX(0,Ind_IS!E16)*Assumptions!E5</f>
        <v/>
      </c>
      <c r="F17" s="8">
        <f>MAX(0,Ind_IS!F16)*Assumptions!F5</f>
        <v/>
      </c>
      <c r="G17" s="8">
        <f>MAX(0,Ind_IS!G16)*Assumptions!G5</f>
        <v/>
      </c>
    </row>
    <row r="18">
      <c r="A18" s="3" t="inlineStr">
        <is>
          <t xml:space="preserve">    净利润</t>
        </is>
      </c>
      <c r="C18" s="23">
        <f>Ind_IS!C16-Ind_IS!C17</f>
        <v/>
      </c>
      <c r="D18" s="23">
        <f>Ind_IS!D16-Ind_IS!D17</f>
        <v/>
      </c>
      <c r="E18" s="23">
        <f>Ind_IS!E16-Ind_IS!E17</f>
        <v/>
      </c>
      <c r="F18" s="23">
        <f>Ind_IS!F16-Ind_IS!F17</f>
        <v/>
      </c>
      <c r="G18" s="23">
        <f>Ind_IS!G16-Ind_IS!G17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智擎行业 · 资产负债表+现金流量表</t>
        </is>
      </c>
    </row>
    <row r="2">
      <c r="A2" s="2" t="inlineStr">
        <is>
          <t>单体半厚 | 无 GPU 资产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C5" s="8">
        <f>Ind_IS!C6*Assumptions!C6/365</f>
        <v/>
      </c>
      <c r="D5" s="8">
        <f>Ind_IS!D6*Assumptions!D6/365</f>
        <v/>
      </c>
      <c r="E5" s="8">
        <f>Ind_IS!E6*Assumptions!E6/365</f>
        <v/>
      </c>
      <c r="F5" s="8">
        <f>Ind_IS!F6*Assumptions!F6/365</f>
        <v/>
      </c>
      <c r="G5" s="8">
        <f>Ind_IS!G6*Assumptions!G6/365</f>
        <v/>
      </c>
    </row>
    <row r="6">
      <c r="A6" s="5" t="inlineStr">
        <is>
          <t xml:space="preserve">    内部应付（T1+T2）</t>
        </is>
      </c>
      <c r="C6" s="8">
        <f>(Ind_IS!C9+Ind_IS!C10)*Assumptions!C8/365</f>
        <v/>
      </c>
      <c r="D6" s="8">
        <f>(Ind_IS!D9+Ind_IS!D10)*Assumptions!D8/365</f>
        <v/>
      </c>
      <c r="E6" s="8">
        <f>(Ind_IS!E9+Ind_IS!E10)*Assumptions!E8/365</f>
        <v/>
      </c>
      <c r="F6" s="8">
        <f>(Ind_IS!F9+Ind_IS!F10)*Assumptions!F8/365</f>
        <v/>
      </c>
      <c r="G6" s="8">
        <f>(Ind_IS!G9+Ind_IS!G10)*Assumptions!G8/365</f>
        <v/>
      </c>
    </row>
    <row r="7">
      <c r="A7" s="5" t="inlineStr">
        <is>
          <t xml:space="preserve">    应付账款</t>
        </is>
      </c>
      <c r="B7" s="2" t="inlineStr">
        <is>
          <t>无折旧</t>
        </is>
      </c>
      <c r="C7" s="8">
        <f>(Ind_IS!C11+Ind_IS!C13+Ind_IS!C14+Ind_IS!C15)*Assumptions!C7/365</f>
        <v/>
      </c>
      <c r="D7" s="8">
        <f>(Ind_IS!D11+Ind_IS!D13+Ind_IS!D14+Ind_IS!D15)*Assumptions!D7/365</f>
        <v/>
      </c>
      <c r="E7" s="8">
        <f>(Ind_IS!E11+Ind_IS!E13+Ind_IS!E14+Ind_IS!E15)*Assumptions!E7/365</f>
        <v/>
      </c>
      <c r="F7" s="8">
        <f>(Ind_IS!F11+Ind_IS!F13+Ind_IS!F14+Ind_IS!F15)*Assumptions!F7/365</f>
        <v/>
      </c>
      <c r="G7" s="8">
        <f>(Ind_IS!G11+Ind_IS!G13+Ind_IS!G14+Ind_IS!G15)*Assumptions!G7/365</f>
        <v/>
      </c>
    </row>
    <row r="8">
      <c r="A8" s="5" t="inlineStr">
        <is>
          <t xml:space="preserve">    递延收益</t>
        </is>
      </c>
      <c r="C8" s="8">
        <f>Ind_IS!C6*Assumptions!C78</f>
        <v/>
      </c>
      <c r="D8" s="8">
        <f>Ind_IS!D6*Assumptions!D78</f>
        <v/>
      </c>
      <c r="E8" s="8">
        <f>Ind_IS!E6*Assumptions!E78</f>
        <v/>
      </c>
      <c r="F8" s="8">
        <f>Ind_IS!F6*Assumptions!F78</f>
        <v/>
      </c>
      <c r="G8" s="8">
        <f>Ind_IS!G6*Assumptions!G78</f>
        <v/>
      </c>
    </row>
    <row r="9">
      <c r="A9" s="3" t="inlineStr">
        <is>
          <t>负债合计</t>
        </is>
      </c>
      <c r="C9" s="23">
        <f>Ind_BS_CF!C7+Ind_BS_CF!C6+Ind_BS_CF!C8</f>
        <v/>
      </c>
      <c r="D9" s="23">
        <f>Ind_BS_CF!D7+Ind_BS_CF!D6+Ind_BS_CF!D8</f>
        <v/>
      </c>
      <c r="E9" s="23">
        <f>Ind_BS_CF!E7+Ind_BS_CF!E6+Ind_BS_CF!E8</f>
        <v/>
      </c>
      <c r="F9" s="23">
        <f>Ind_BS_CF!F7+Ind_BS_CF!F6+Ind_BS_CF!F8</f>
        <v/>
      </c>
      <c r="G9" s="23">
        <f>Ind_BS_CF!G7+Ind_BS_CF!G6+Ind_BS_CF!G8</f>
        <v/>
      </c>
    </row>
    <row r="10">
      <c r="A10" s="5" t="inlineStr">
        <is>
          <t xml:space="preserve">    实收资本</t>
        </is>
      </c>
      <c r="C10" s="8">
        <f>Assumptions!C71+Assumptions!C58</f>
        <v/>
      </c>
      <c r="D10" s="8">
        <f>C10+Assumptions!D58</f>
        <v/>
      </c>
      <c r="E10" s="8">
        <f>D10+Assumptions!E58</f>
        <v/>
      </c>
      <c r="F10" s="8">
        <f>E10+Assumptions!F58</f>
        <v/>
      </c>
      <c r="G10" s="8">
        <f>F10+Assumptions!G58</f>
        <v/>
      </c>
    </row>
    <row r="11">
      <c r="A11" s="5" t="inlineStr">
        <is>
          <t xml:space="preserve">    未分配利润</t>
        </is>
      </c>
      <c r="C11" s="8">
        <f>Assumptions!C70+Ind_IS!C18</f>
        <v/>
      </c>
      <c r="D11" s="8">
        <f>C11+Ind_IS!D18</f>
        <v/>
      </c>
      <c r="E11" s="8">
        <f>D11+Ind_IS!E18</f>
        <v/>
      </c>
      <c r="F11" s="8">
        <f>E11+Ind_IS!F18</f>
        <v/>
      </c>
      <c r="G11" s="8">
        <f>F11+Ind_IS!G18</f>
        <v/>
      </c>
    </row>
    <row r="12">
      <c r="A12" s="26" t="inlineStr">
        <is>
          <t>货币资金（倒挤）</t>
        </is>
      </c>
      <c r="C12" s="27">
        <f>Ind_BS_CF!C9+Ind_BS_CF!C10+Ind_BS_CF!C11-Ind_BS_CF!C5</f>
        <v/>
      </c>
      <c r="D12" s="27">
        <f>Ind_BS_CF!D9+Ind_BS_CF!D10+Ind_BS_CF!D11-Ind_BS_CF!D5</f>
        <v/>
      </c>
      <c r="E12" s="27">
        <f>Ind_BS_CF!E9+Ind_BS_CF!E10+Ind_BS_CF!E11-Ind_BS_CF!E5</f>
        <v/>
      </c>
      <c r="F12" s="27">
        <f>Ind_BS_CF!F9+Ind_BS_CF!F10+Ind_BS_CF!F11-Ind_BS_CF!F5</f>
        <v/>
      </c>
      <c r="G12" s="27">
        <f>Ind_BS_CF!G9+Ind_BS_CF!G10+Ind_BS_CF!G11-Ind_BS_CF!G5</f>
        <v/>
      </c>
    </row>
    <row r="13">
      <c r="A13" s="13" t="inlineStr">
        <is>
          <t>── 现金流量表（间接法）──</t>
        </is>
      </c>
    </row>
    <row r="14">
      <c r="A14" s="5" t="inlineStr">
        <is>
          <t xml:space="preserve">    净利润</t>
        </is>
      </c>
      <c r="C14" s="8">
        <f>Ind_IS!C18</f>
        <v/>
      </c>
      <c r="D14" s="8">
        <f>Ind_IS!D18</f>
        <v/>
      </c>
      <c r="E14" s="8">
        <f>Ind_IS!E18</f>
        <v/>
      </c>
      <c r="F14" s="8">
        <f>Ind_IS!F18</f>
        <v/>
      </c>
      <c r="G14" s="8">
        <f>Ind_IS!G18</f>
        <v/>
      </c>
    </row>
    <row r="15">
      <c r="A15" s="5" t="inlineStr">
        <is>
          <t xml:space="preserve">    减：应收增加</t>
        </is>
      </c>
      <c r="C15" s="8">
        <f>-(Ind_BS_CF!C5-(0))</f>
        <v/>
      </c>
      <c r="D15" s="8">
        <f>-(Ind_BS_CF!D5-(Ind_BS_CF!C5))</f>
        <v/>
      </c>
      <c r="E15" s="8">
        <f>-(Ind_BS_CF!E5-(Ind_BS_CF!D5))</f>
        <v/>
      </c>
      <c r="F15" s="8">
        <f>-(Ind_BS_CF!F5-(Ind_BS_CF!E5))</f>
        <v/>
      </c>
      <c r="G15" s="8">
        <f>-(Ind_BS_CF!G5-(Ind_BS_CF!F5))</f>
        <v/>
      </c>
    </row>
    <row r="16">
      <c r="A16" s="5" t="inlineStr">
        <is>
          <t xml:space="preserve">    内部往来净变动</t>
        </is>
      </c>
      <c r="C16" s="8">
        <f>(Ind_BS_CF!C6-(0))</f>
        <v/>
      </c>
      <c r="D16" s="8">
        <f>(Ind_BS_CF!D6-(Ind_BS_CF!C6))</f>
        <v/>
      </c>
      <c r="E16" s="8">
        <f>(Ind_BS_CF!E6-(Ind_BS_CF!D6))</f>
        <v/>
      </c>
      <c r="F16" s="8">
        <f>(Ind_BS_CF!F6-(Ind_BS_CF!E6))</f>
        <v/>
      </c>
      <c r="G16" s="8">
        <f>(Ind_BS_CF!G6-(Ind_BS_CF!F6))</f>
        <v/>
      </c>
    </row>
    <row r="17">
      <c r="A17" s="5" t="inlineStr">
        <is>
          <t xml:space="preserve">    加：递延增加</t>
        </is>
      </c>
      <c r="C17" s="8">
        <f>Ind_BS_CF!C8-(0)</f>
        <v/>
      </c>
      <c r="D17" s="8">
        <f>Ind_BS_CF!D8-(Ind_BS_CF!C8)</f>
        <v/>
      </c>
      <c r="E17" s="8">
        <f>Ind_BS_CF!E8-(Ind_BS_CF!D8)</f>
        <v/>
      </c>
      <c r="F17" s="8">
        <f>Ind_BS_CF!F8-(Ind_BS_CF!E8)</f>
        <v/>
      </c>
      <c r="G17" s="8">
        <f>Ind_BS_CF!G8-(Ind_BS_CF!F8)</f>
        <v/>
      </c>
    </row>
    <row r="18">
      <c r="A18" s="5" t="inlineStr">
        <is>
          <t xml:space="preserve">    加：应付增加</t>
        </is>
      </c>
      <c r="C18" s="8">
        <f>Ind_BS_CF!C7-(0)</f>
        <v/>
      </c>
      <c r="D18" s="8">
        <f>Ind_BS_CF!D7-(Ind_BS_CF!C7)</f>
        <v/>
      </c>
      <c r="E18" s="8">
        <f>Ind_BS_CF!E7-(Ind_BS_CF!D7)</f>
        <v/>
      </c>
      <c r="F18" s="8">
        <f>Ind_BS_CF!F7-(Ind_BS_CF!E7)</f>
        <v/>
      </c>
      <c r="G18" s="8">
        <f>Ind_BS_CF!G7-(Ind_BS_CF!F7)</f>
        <v/>
      </c>
    </row>
    <row r="19">
      <c r="A19" s="3" t="inlineStr">
        <is>
          <t xml:space="preserve">    经营现金流</t>
        </is>
      </c>
      <c r="C19" s="23">
        <f>Ind_BS_CF!C14+Ind_BS_CF!C15+Ind_BS_CF!C16+Ind_BS_CF!C17+Ind_BS_CF!C18</f>
        <v/>
      </c>
      <c r="D19" s="23">
        <f>Ind_BS_CF!D14+Ind_BS_CF!D15+Ind_BS_CF!D16+Ind_BS_CF!D17+Ind_BS_CF!D18</f>
        <v/>
      </c>
      <c r="E19" s="23">
        <f>Ind_BS_CF!E14+Ind_BS_CF!E15+Ind_BS_CF!E16+Ind_BS_CF!E17+Ind_BS_CF!E18</f>
        <v/>
      </c>
      <c r="F19" s="23">
        <f>Ind_BS_CF!F14+Ind_BS_CF!F15+Ind_BS_CF!F16+Ind_BS_CF!F17+Ind_BS_CF!F18</f>
        <v/>
      </c>
      <c r="G19" s="23">
        <f>Ind_BS_CF!G14+Ind_BS_CF!G15+Ind_BS_CF!G16+Ind_BS_CF!G17+Ind_BS_CF!G18</f>
        <v/>
      </c>
    </row>
    <row r="20">
      <c r="A20" s="5" t="inlineStr">
        <is>
          <t xml:space="preserve">    筹资：股权注资</t>
        </is>
      </c>
      <c r="C20" s="8">
        <f>Assumptions!C58</f>
        <v/>
      </c>
      <c r="D20" s="8">
        <f>Assumptions!D58</f>
        <v/>
      </c>
      <c r="E20" s="8">
        <f>Assumptions!E58</f>
        <v/>
      </c>
      <c r="F20" s="8">
        <f>Assumptions!F58</f>
        <v/>
      </c>
      <c r="G20" s="8">
        <f>Assumptions!G58</f>
        <v/>
      </c>
    </row>
    <row r="21">
      <c r="A21" s="3" t="inlineStr">
        <is>
          <t xml:space="preserve">    现金净变动</t>
        </is>
      </c>
      <c r="C21" s="23">
        <f>Ind_BS_CF!C19+Ind_BS_CF!C20</f>
        <v/>
      </c>
      <c r="D21" s="23">
        <f>Ind_BS_CF!D19+Ind_BS_CF!D20</f>
        <v/>
      </c>
      <c r="E21" s="23">
        <f>Ind_BS_CF!E19+Ind_BS_CF!E20</f>
        <v/>
      </c>
      <c r="F21" s="23">
        <f>Ind_BS_CF!F19+Ind_BS_CF!F20</f>
        <v/>
      </c>
      <c r="G21" s="23">
        <f>Ind_BS_CF!G19+Ind_BS_CF!G20</f>
        <v/>
      </c>
    </row>
    <row r="22">
      <c r="A22" s="3" t="inlineStr">
        <is>
          <t xml:space="preserve">    期末现金（CF）</t>
        </is>
      </c>
      <c r="C22" s="23">
        <f>14000+Ind_BS_CF!C19+Ind_BS_CF!C20</f>
        <v/>
      </c>
      <c r="D22" s="23">
        <f>C22+Ind_BS_CF!D19+Ind_BS_CF!D20</f>
        <v/>
      </c>
      <c r="E22" s="23">
        <f>D22+Ind_BS_CF!E19+Ind_BS_CF!E20</f>
        <v/>
      </c>
      <c r="F22" s="23">
        <f>E22+Ind_BS_CF!F19+Ind_BS_CF!F20</f>
        <v/>
      </c>
      <c r="G22" s="23">
        <f>F22+Ind_BS_CF!G19+Ind_BS_CF!G20</f>
        <v/>
      </c>
    </row>
    <row r="23">
      <c r="A23" s="3" t="inlineStr">
        <is>
          <t>★ CF=BS 差异（应全 0）</t>
        </is>
      </c>
      <c r="C23" s="24" t="n"/>
      <c r="D23" s="24" t="n"/>
      <c r="E23" s="24" t="n"/>
      <c r="F23" s="24" t="n"/>
      <c r="G23" s="24" t="n"/>
    </row>
    <row r="24">
      <c r="A24" s="5" t="inlineStr">
        <is>
          <t xml:space="preserve">  CF推导 − BS倒挤</t>
        </is>
      </c>
      <c r="C24" s="28">
        <f>Ind_BS_CF!C22-Ind_BS_CF!C12</f>
        <v/>
      </c>
      <c r="D24" s="28">
        <f>Ind_BS_CF!D22-Ind_BS_CF!D12</f>
        <v/>
      </c>
      <c r="E24" s="28">
        <f>Ind_BS_CF!E22-Ind_BS_CF!E12</f>
        <v/>
      </c>
      <c r="F24" s="28">
        <f>Ind_BS_CF!F22-Ind_BS_CF!F12</f>
        <v/>
      </c>
      <c r="G24" s="28">
        <f>Ind_BS_CF!G22-Ind_BS_CF!G12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智擎互联 · 利润表</t>
        </is>
      </c>
    </row>
    <row r="2">
      <c r="A2" s="2" t="inlineStr">
        <is>
          <t>单体 | C端：MAU×转化×ARPPU + 广告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收入 · C端订阅</t>
        </is>
      </c>
      <c r="C4" s="8">
        <f>Assumptions!C31*Assumptions!C32*Assumptions!C33*12</f>
        <v/>
      </c>
      <c r="D4" s="8">
        <f>Assumptions!D31*Assumptions!D32*Assumptions!D33*12</f>
        <v/>
      </c>
      <c r="E4" s="8">
        <f>Assumptions!E31*Assumptions!E32*Assumptions!E33*12</f>
        <v/>
      </c>
      <c r="F4" s="8">
        <f>Assumptions!F31*Assumptions!F32*Assumptions!F33*12</f>
        <v/>
      </c>
      <c r="G4" s="8">
        <f>Assumptions!G31*Assumptions!G32*Assumptions!G33*12</f>
        <v/>
      </c>
    </row>
    <row r="5">
      <c r="A5" s="5" t="inlineStr">
        <is>
          <t xml:space="preserve">    收入 · 广告</t>
        </is>
      </c>
      <c r="C5" s="8">
        <f>Assumptions!C34</f>
        <v/>
      </c>
      <c r="D5" s="8">
        <f>Assumptions!D34</f>
        <v/>
      </c>
      <c r="E5" s="8">
        <f>Assumptions!E34</f>
        <v/>
      </c>
      <c r="F5" s="8">
        <f>Assumptions!F34</f>
        <v/>
      </c>
      <c r="G5" s="8">
        <f>Assumptions!G34</f>
        <v/>
      </c>
    </row>
    <row r="6">
      <c r="A6" s="3" t="inlineStr">
        <is>
          <t xml:space="preserve">    对外收入合计</t>
        </is>
      </c>
      <c r="C6" s="23">
        <f>Toc_IS!C4+Toc_IS!C5</f>
        <v/>
      </c>
      <c r="D6" s="23">
        <f>Toc_IS!D4+Toc_IS!D5</f>
        <v/>
      </c>
      <c r="E6" s="23">
        <f>Toc_IS!E4+Toc_IS!E5</f>
        <v/>
      </c>
      <c r="F6" s="23">
        <f>Toc_IS!F4+Toc_IS!F5</f>
        <v/>
      </c>
      <c r="G6" s="23">
        <f>Toc_IS!G4+Toc_IS!G5</f>
        <v/>
      </c>
    </row>
    <row r="7">
      <c r="A7" s="5" t="inlineStr">
        <is>
          <t xml:space="preserve">    成本 · 推理+带宽</t>
        </is>
      </c>
      <c r="B7" s="2" t="inlineStr">
        <is>
          <t>含付云 T3（70%）</t>
        </is>
      </c>
      <c r="C7" s="8">
        <f>Assumptions!C31*Assumptions!C35*12</f>
        <v/>
      </c>
      <c r="D7" s="8">
        <f>Assumptions!D31*Assumptions!D35*12</f>
        <v/>
      </c>
      <c r="E7" s="8">
        <f>Assumptions!E31*Assumptions!E35*12</f>
        <v/>
      </c>
      <c r="F7" s="8">
        <f>Assumptions!F31*Assumptions!F35*12</f>
        <v/>
      </c>
      <c r="G7" s="8">
        <f>Assumptions!G31*Assumptions!G35*12</f>
        <v/>
      </c>
    </row>
    <row r="8">
      <c r="A8" s="5" t="inlineStr">
        <is>
          <t xml:space="preserve">    成本 · T1 license 费</t>
        </is>
      </c>
      <c r="C8" s="8">
        <f>Toc_IS!C6*Assumptions!C50</f>
        <v/>
      </c>
      <c r="D8" s="8">
        <f>Toc_IS!D6*Assumptions!D50</f>
        <v/>
      </c>
      <c r="E8" s="8">
        <f>Toc_IS!E6*Assumptions!E50</f>
        <v/>
      </c>
      <c r="F8" s="8">
        <f>Toc_IS!F6*Assumptions!F50</f>
        <v/>
      </c>
      <c r="G8" s="8">
        <f>Toc_IS!G6*Assumptions!G50</f>
        <v/>
      </c>
    </row>
    <row r="9">
      <c r="A9" s="3" t="inlineStr">
        <is>
          <t xml:space="preserve">    营业成本合计</t>
        </is>
      </c>
      <c r="C9" s="23">
        <f>Toc_IS!C7+Toc_IS!C8</f>
        <v/>
      </c>
      <c r="D9" s="23">
        <f>Toc_IS!D7+Toc_IS!D8</f>
        <v/>
      </c>
      <c r="E9" s="23">
        <f>Toc_IS!E7+Toc_IS!E8</f>
        <v/>
      </c>
      <c r="F9" s="23">
        <f>Toc_IS!F7+Toc_IS!F8</f>
        <v/>
      </c>
      <c r="G9" s="23">
        <f>Toc_IS!G7+Toc_IS!G8</f>
        <v/>
      </c>
    </row>
    <row r="10">
      <c r="A10" s="3" t="inlineStr">
        <is>
          <t xml:space="preserve">    毛利润</t>
        </is>
      </c>
      <c r="C10" s="23">
        <f>Toc_IS!C6-Toc_IS!C9</f>
        <v/>
      </c>
      <c r="D10" s="23">
        <f>Toc_IS!D6-Toc_IS!D9</f>
        <v/>
      </c>
      <c r="E10" s="23">
        <f>Toc_IS!E6-Toc_IS!E9</f>
        <v/>
      </c>
      <c r="F10" s="23">
        <f>Toc_IS!F6-Toc_IS!F9</f>
        <v/>
      </c>
      <c r="G10" s="23">
        <f>Toc_IS!G6-Toc_IS!G9</f>
        <v/>
      </c>
    </row>
    <row r="11">
      <c r="A11" s="5" t="inlineStr">
        <is>
          <t xml:space="preserve">    研发费用</t>
        </is>
      </c>
      <c r="B11" s="2" t="inlineStr">
        <is>
          <t>×70万</t>
        </is>
      </c>
      <c r="C11" s="8">
        <f>Assumptions!C38*70</f>
        <v/>
      </c>
      <c r="D11" s="8">
        <f>Assumptions!D38*70</f>
        <v/>
      </c>
      <c r="E11" s="8">
        <f>Assumptions!E38*70</f>
        <v/>
      </c>
      <c r="F11" s="8">
        <f>Assumptions!F38*70</f>
        <v/>
      </c>
      <c r="G11" s="8">
        <f>Assumptions!G38*70</f>
        <v/>
      </c>
    </row>
    <row r="12">
      <c r="A12" s="5" t="inlineStr">
        <is>
          <t xml:space="preserve">    销售费用 · 获客</t>
        </is>
      </c>
      <c r="B12" s="2" t="inlineStr">
        <is>
          <t>新增用户×CAC</t>
        </is>
      </c>
      <c r="C12" s="8">
        <f>(Assumptions!C31-0)*Assumptions!C37*Assumptions!C36</f>
        <v/>
      </c>
      <c r="D12" s="8">
        <f>(Assumptions!D31-Assumptions!C31)*Assumptions!C37*Assumptions!D36</f>
        <v/>
      </c>
      <c r="E12" s="8">
        <f>(Assumptions!E31-Assumptions!D31)*Assumptions!C37*Assumptions!E36</f>
        <v/>
      </c>
      <c r="F12" s="8">
        <f>(Assumptions!F31-Assumptions!E31)*Assumptions!C37*Assumptions!F36</f>
        <v/>
      </c>
      <c r="G12" s="8">
        <f>(Assumptions!G31-Assumptions!F31)*Assumptions!C37*Assumptions!G36</f>
        <v/>
      </c>
    </row>
    <row r="13">
      <c r="A13" s="5" t="inlineStr">
        <is>
          <t xml:space="preserve">    销售费用合计</t>
        </is>
      </c>
      <c r="C13" s="8">
        <f>Toc_IS!C12+Assumptions!C39*55</f>
        <v/>
      </c>
      <c r="D13" s="8">
        <f>Toc_IS!D12+Assumptions!D39*55</f>
        <v/>
      </c>
      <c r="E13" s="8">
        <f>Toc_IS!E12+Assumptions!E39*55</f>
        <v/>
      </c>
      <c r="F13" s="8">
        <f>Toc_IS!F12+Assumptions!F39*55</f>
        <v/>
      </c>
      <c r="G13" s="8">
        <f>Toc_IS!G12+Assumptions!G39*55</f>
        <v/>
      </c>
    </row>
    <row r="14">
      <c r="A14" s="5" t="inlineStr">
        <is>
          <t xml:space="preserve">    管理费用</t>
        </is>
      </c>
      <c r="B14" s="2" t="inlineStr">
        <is>
          <t>×55万</t>
        </is>
      </c>
      <c r="C14" s="8">
        <f>Assumptions!C40*55</f>
        <v/>
      </c>
      <c r="D14" s="8">
        <f>Assumptions!D40*55</f>
        <v/>
      </c>
      <c r="E14" s="8">
        <f>Assumptions!E40*55</f>
        <v/>
      </c>
      <c r="F14" s="8">
        <f>Assumptions!F40*55</f>
        <v/>
      </c>
      <c r="G14" s="8">
        <f>Assumptions!G40*55</f>
        <v/>
      </c>
    </row>
    <row r="15">
      <c r="A15" s="3" t="inlineStr">
        <is>
          <t xml:space="preserve">    EBIT</t>
        </is>
      </c>
      <c r="C15" s="23">
        <f>Toc_IS!C10-Toc_IS!C11-Toc_IS!C13-Toc_IS!C14</f>
        <v/>
      </c>
      <c r="D15" s="23">
        <f>Toc_IS!D10-Toc_IS!D11-Toc_IS!D13-Toc_IS!D14</f>
        <v/>
      </c>
      <c r="E15" s="23">
        <f>Toc_IS!E10-Toc_IS!E11-Toc_IS!E13-Toc_IS!E14</f>
        <v/>
      </c>
      <c r="F15" s="23">
        <f>Toc_IS!F10-Toc_IS!F11-Toc_IS!F13-Toc_IS!F14</f>
        <v/>
      </c>
      <c r="G15" s="23">
        <f>Toc_IS!G10-Toc_IS!G11-Toc_IS!G13-Toc_IS!G14</f>
        <v/>
      </c>
    </row>
    <row r="16">
      <c r="A16" s="5" t="inlineStr">
        <is>
          <t xml:space="preserve">    所得税</t>
        </is>
      </c>
      <c r="C16" s="8">
        <f>MAX(0,Toc_IS!C15)*Assumptions!C5</f>
        <v/>
      </c>
      <c r="D16" s="8">
        <f>MAX(0,Toc_IS!D15)*Assumptions!D5</f>
        <v/>
      </c>
      <c r="E16" s="8">
        <f>MAX(0,Toc_IS!E15)*Assumptions!E5</f>
        <v/>
      </c>
      <c r="F16" s="8">
        <f>MAX(0,Toc_IS!F15)*Assumptions!F5</f>
        <v/>
      </c>
      <c r="G16" s="8">
        <f>MAX(0,Toc_IS!G15)*Assumptions!G5</f>
        <v/>
      </c>
    </row>
    <row r="17">
      <c r="A17" s="3" t="inlineStr">
        <is>
          <t xml:space="preserve">    净利润</t>
        </is>
      </c>
      <c r="B17" s="2" t="inlineStr">
        <is>
          <t>归母80%</t>
        </is>
      </c>
      <c r="C17" s="23">
        <f>Toc_IS!C15-Toc_IS!C16</f>
        <v/>
      </c>
      <c r="D17" s="23">
        <f>Toc_IS!D15-Toc_IS!D16</f>
        <v/>
      </c>
      <c r="E17" s="23">
        <f>Toc_IS!E15-Toc_IS!E16</f>
        <v/>
      </c>
      <c r="F17" s="23">
        <f>Toc_IS!F15-Toc_IS!F16</f>
        <v/>
      </c>
      <c r="G17" s="23">
        <f>Toc_IS!G15-Toc_IS!G16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智擎互联 · 资产负债表+现金流量表</t>
        </is>
      </c>
    </row>
    <row r="2">
      <c r="A2" s="2" t="inlineStr">
        <is>
          <t>单体半厚 | 母公司持股80%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B5" s="2" t="inlineStr">
        <is>
          <t>广告主账期</t>
        </is>
      </c>
      <c r="C5" s="8">
        <f>Toc_IS!C6*Assumptions!C6/365</f>
        <v/>
      </c>
      <c r="D5" s="8">
        <f>Toc_IS!D6*Assumptions!D6/365</f>
        <v/>
      </c>
      <c r="E5" s="8">
        <f>Toc_IS!E6*Assumptions!E6/365</f>
        <v/>
      </c>
      <c r="F5" s="8">
        <f>Toc_IS!F6*Assumptions!F6/365</f>
        <v/>
      </c>
      <c r="G5" s="8">
        <f>Toc_IS!G6*Assumptions!G6/365</f>
        <v/>
      </c>
    </row>
    <row r="6">
      <c r="A6" s="5" t="inlineStr">
        <is>
          <t xml:space="preserve">    内部应付（T3+T1）</t>
        </is>
      </c>
      <c r="B6" s="2" t="inlineStr">
        <is>
          <t>含在途，全挂</t>
        </is>
      </c>
      <c r="C6" s="8">
        <f>(Assumptions!C31*Assumptions!C35*12*Assumptions!C52+Toc_IS!C8)*Assumptions!C8/365</f>
        <v/>
      </c>
      <c r="D6" s="8">
        <f>(Assumptions!D31*Assumptions!D35*12*Assumptions!D52+Toc_IS!D8)*Assumptions!D8/365</f>
        <v/>
      </c>
      <c r="E6" s="8">
        <f>(Assumptions!E31*Assumptions!E35*12*Assumptions!E52+Toc_IS!E8)*Assumptions!E8/365</f>
        <v/>
      </c>
      <c r="F6" s="8">
        <f>(Assumptions!F31*Assumptions!F35*12*Assumptions!F52+Toc_IS!F8)*Assumptions!F8/365</f>
        <v/>
      </c>
      <c r="G6" s="8">
        <f>(Assumptions!G31*Assumptions!G35*12*Assumptions!G52+Toc_IS!G8)*Assumptions!G8/365</f>
        <v/>
      </c>
    </row>
    <row r="7">
      <c r="A7" s="5" t="inlineStr">
        <is>
          <t xml:space="preserve">    应付账款</t>
        </is>
      </c>
      <c r="C7" s="8">
        <f>(Toc_IS!C9+Toc_IS!C11+Toc_IS!C13+Toc_IS!C14)*Assumptions!C7/365</f>
        <v/>
      </c>
      <c r="D7" s="8">
        <f>(Toc_IS!D9+Toc_IS!D11+Toc_IS!D13+Toc_IS!D14)*Assumptions!D7/365</f>
        <v/>
      </c>
      <c r="E7" s="8">
        <f>(Toc_IS!E9+Toc_IS!E11+Toc_IS!E13+Toc_IS!E14)*Assumptions!E7/365</f>
        <v/>
      </c>
      <c r="F7" s="8">
        <f>(Toc_IS!F9+Toc_IS!F11+Toc_IS!F13+Toc_IS!F14)*Assumptions!F7/365</f>
        <v/>
      </c>
      <c r="G7" s="8">
        <f>(Toc_IS!G9+Toc_IS!G11+Toc_IS!G13+Toc_IS!G14)*Assumptions!G7/365</f>
        <v/>
      </c>
    </row>
    <row r="8">
      <c r="A8" s="5" t="inlineStr">
        <is>
          <t xml:space="preserve">    递延收益</t>
        </is>
      </c>
      <c r="B8" s="2" t="inlineStr">
        <is>
          <t>订阅年费预收</t>
        </is>
      </c>
      <c r="C8" s="8">
        <f>Toc_IS!C4*Assumptions!C79</f>
        <v/>
      </c>
      <c r="D8" s="8">
        <f>Toc_IS!D4*Assumptions!D79</f>
        <v/>
      </c>
      <c r="E8" s="8">
        <f>Toc_IS!E4*Assumptions!E79</f>
        <v/>
      </c>
      <c r="F8" s="8">
        <f>Toc_IS!F4*Assumptions!F79</f>
        <v/>
      </c>
      <c r="G8" s="8">
        <f>Toc_IS!G4*Assumptions!G79</f>
        <v/>
      </c>
    </row>
    <row r="9">
      <c r="A9" s="3" t="inlineStr">
        <is>
          <t>负债合计</t>
        </is>
      </c>
      <c r="C9" s="23">
        <f>Toc_BS_CF!C7+Toc_BS_CF!C6+Toc_BS_CF!C8</f>
        <v/>
      </c>
      <c r="D9" s="23">
        <f>Toc_BS_CF!D7+Toc_BS_CF!D6+Toc_BS_CF!D8</f>
        <v/>
      </c>
      <c r="E9" s="23">
        <f>Toc_BS_CF!E7+Toc_BS_CF!E6+Toc_BS_CF!E8</f>
        <v/>
      </c>
      <c r="F9" s="23">
        <f>Toc_BS_CF!F7+Toc_BS_CF!F6+Toc_BS_CF!F8</f>
        <v/>
      </c>
      <c r="G9" s="23">
        <f>Toc_BS_CF!G7+Toc_BS_CF!G6+Toc_BS_CF!G8</f>
        <v/>
      </c>
    </row>
    <row r="10">
      <c r="A10" s="5" t="inlineStr">
        <is>
          <t xml:space="preserve">    实收资本</t>
        </is>
      </c>
      <c r="B10" s="2" t="inlineStr">
        <is>
          <t>母80%+战投20%</t>
        </is>
      </c>
      <c r="C10" s="8">
        <f>Assumptions!C73+Assumptions!C59</f>
        <v/>
      </c>
      <c r="D10" s="8">
        <f>C10+Assumptions!D59</f>
        <v/>
      </c>
      <c r="E10" s="8">
        <f>D10+Assumptions!E59</f>
        <v/>
      </c>
      <c r="F10" s="8">
        <f>E10+Assumptions!F59</f>
        <v/>
      </c>
      <c r="G10" s="8">
        <f>F10+Assumptions!G59</f>
        <v/>
      </c>
    </row>
    <row r="11">
      <c r="A11" s="5" t="inlineStr">
        <is>
          <t xml:space="preserve">    未分配利润</t>
        </is>
      </c>
      <c r="C11" s="8">
        <f>Assumptions!C72+Toc_IS!C17</f>
        <v/>
      </c>
      <c r="D11" s="8">
        <f>C11+Toc_IS!D17</f>
        <v/>
      </c>
      <c r="E11" s="8">
        <f>D11+Toc_IS!E17</f>
        <v/>
      </c>
      <c r="F11" s="8">
        <f>E11+Toc_IS!F17</f>
        <v/>
      </c>
      <c r="G11" s="8">
        <f>F11+Toc_IS!G17</f>
        <v/>
      </c>
    </row>
    <row r="12">
      <c r="A12" s="26" t="inlineStr">
        <is>
          <t>货币资金（倒挤）</t>
        </is>
      </c>
      <c r="C12" s="27">
        <f>Toc_BS_CF!C9+Toc_BS_CF!C10+Toc_BS_CF!C11-Toc_BS_CF!C5</f>
        <v/>
      </c>
      <c r="D12" s="27">
        <f>Toc_BS_CF!D9+Toc_BS_CF!D10+Toc_BS_CF!D11-Toc_BS_CF!D5</f>
        <v/>
      </c>
      <c r="E12" s="27">
        <f>Toc_BS_CF!E9+Toc_BS_CF!E10+Toc_BS_CF!E11-Toc_BS_CF!E5</f>
        <v/>
      </c>
      <c r="F12" s="27">
        <f>Toc_BS_CF!F9+Toc_BS_CF!F10+Toc_BS_CF!F11-Toc_BS_CF!F5</f>
        <v/>
      </c>
      <c r="G12" s="27">
        <f>Toc_BS_CF!G9+Toc_BS_CF!G10+Toc_BS_CF!G11-Toc_BS_CF!G5</f>
        <v/>
      </c>
    </row>
    <row r="13">
      <c r="A13" s="13" t="inlineStr">
        <is>
          <t>── 现金流量表（间接法）──</t>
        </is>
      </c>
    </row>
    <row r="14">
      <c r="A14" s="5" t="inlineStr">
        <is>
          <t xml:space="preserve">    净利润</t>
        </is>
      </c>
      <c r="C14" s="8">
        <f>Toc_IS!C17</f>
        <v/>
      </c>
      <c r="D14" s="8">
        <f>Toc_IS!D17</f>
        <v/>
      </c>
      <c r="E14" s="8">
        <f>Toc_IS!E17</f>
        <v/>
      </c>
      <c r="F14" s="8">
        <f>Toc_IS!F17</f>
        <v/>
      </c>
      <c r="G14" s="8">
        <f>Toc_IS!G17</f>
        <v/>
      </c>
    </row>
    <row r="15">
      <c r="A15" s="5" t="inlineStr">
        <is>
          <t xml:space="preserve">    减：应收增加</t>
        </is>
      </c>
      <c r="C15" s="8">
        <f>-(Toc_BS_CF!C5-(0))</f>
        <v/>
      </c>
      <c r="D15" s="8">
        <f>-(Toc_BS_CF!D5-(Toc_BS_CF!C5))</f>
        <v/>
      </c>
      <c r="E15" s="8">
        <f>-(Toc_BS_CF!E5-(Toc_BS_CF!D5))</f>
        <v/>
      </c>
      <c r="F15" s="8">
        <f>-(Toc_BS_CF!F5-(Toc_BS_CF!E5))</f>
        <v/>
      </c>
      <c r="G15" s="8">
        <f>-(Toc_BS_CF!G5-(Toc_BS_CF!F5))</f>
        <v/>
      </c>
    </row>
    <row r="16">
      <c r="A16" s="5" t="inlineStr">
        <is>
          <t xml:space="preserve">    内部往来净变动</t>
        </is>
      </c>
      <c r="C16" s="8">
        <f>(Toc_BS_CF!C6-(0))</f>
        <v/>
      </c>
      <c r="D16" s="8">
        <f>(Toc_BS_CF!D6-(Toc_BS_CF!C6))</f>
        <v/>
      </c>
      <c r="E16" s="8">
        <f>(Toc_BS_CF!E6-(Toc_BS_CF!D6))</f>
        <v/>
      </c>
      <c r="F16" s="8">
        <f>(Toc_BS_CF!F6-(Toc_BS_CF!E6))</f>
        <v/>
      </c>
      <c r="G16" s="8">
        <f>(Toc_BS_CF!G6-(Toc_BS_CF!F6))</f>
        <v/>
      </c>
    </row>
    <row r="17">
      <c r="A17" s="5" t="inlineStr">
        <is>
          <t xml:space="preserve">    加：递延增加</t>
        </is>
      </c>
      <c r="C17" s="8">
        <f>Toc_BS_CF!C8-(0)</f>
        <v/>
      </c>
      <c r="D17" s="8">
        <f>Toc_BS_CF!D8-(Toc_BS_CF!C8)</f>
        <v/>
      </c>
      <c r="E17" s="8">
        <f>Toc_BS_CF!E8-(Toc_BS_CF!D8)</f>
        <v/>
      </c>
      <c r="F17" s="8">
        <f>Toc_BS_CF!F8-(Toc_BS_CF!E8)</f>
        <v/>
      </c>
      <c r="G17" s="8">
        <f>Toc_BS_CF!G8-(Toc_BS_CF!F8)</f>
        <v/>
      </c>
    </row>
    <row r="18">
      <c r="A18" s="5" t="inlineStr">
        <is>
          <t xml:space="preserve">    加：应付增加</t>
        </is>
      </c>
      <c r="C18" s="8">
        <f>Toc_BS_CF!C7-(0)</f>
        <v/>
      </c>
      <c r="D18" s="8">
        <f>Toc_BS_CF!D7-(Toc_BS_CF!C7)</f>
        <v/>
      </c>
      <c r="E18" s="8">
        <f>Toc_BS_CF!E7-(Toc_BS_CF!D7)</f>
        <v/>
      </c>
      <c r="F18" s="8">
        <f>Toc_BS_CF!F7-(Toc_BS_CF!E7)</f>
        <v/>
      </c>
      <c r="G18" s="8">
        <f>Toc_BS_CF!G7-(Toc_BS_CF!F7)</f>
        <v/>
      </c>
    </row>
    <row r="19">
      <c r="A19" s="3" t="inlineStr">
        <is>
          <t xml:space="preserve">    经营现金流</t>
        </is>
      </c>
      <c r="C19" s="23">
        <f>Toc_BS_CF!C14+Toc_BS_CF!C15+Toc_BS_CF!C16+Toc_BS_CF!C17+Toc_BS_CF!C18</f>
        <v/>
      </c>
      <c r="D19" s="23">
        <f>Toc_BS_CF!D14+Toc_BS_CF!D15+Toc_BS_CF!D16+Toc_BS_CF!D17+Toc_BS_CF!D18</f>
        <v/>
      </c>
      <c r="E19" s="23">
        <f>Toc_BS_CF!E14+Toc_BS_CF!E15+Toc_BS_CF!E16+Toc_BS_CF!E17+Toc_BS_CF!E18</f>
        <v/>
      </c>
      <c r="F19" s="23">
        <f>Toc_BS_CF!F14+Toc_BS_CF!F15+Toc_BS_CF!F16+Toc_BS_CF!F17+Toc_BS_CF!F18</f>
        <v/>
      </c>
      <c r="G19" s="23">
        <f>Toc_BS_CF!G14+Toc_BS_CF!G15+Toc_BS_CF!G16+Toc_BS_CF!G17+Toc_BS_CF!G18</f>
        <v/>
      </c>
    </row>
    <row r="20">
      <c r="A20" s="5" t="inlineStr">
        <is>
          <t xml:space="preserve">    筹资：股权注资（含战投）</t>
        </is>
      </c>
      <c r="C20" s="8">
        <f>Assumptions!C59</f>
        <v/>
      </c>
      <c r="D20" s="8">
        <f>Assumptions!D59</f>
        <v/>
      </c>
      <c r="E20" s="8">
        <f>Assumptions!E59</f>
        <v/>
      </c>
      <c r="F20" s="8">
        <f>Assumptions!F59</f>
        <v/>
      </c>
      <c r="G20" s="8">
        <f>Assumptions!G59</f>
        <v/>
      </c>
    </row>
    <row r="21">
      <c r="A21" s="3" t="inlineStr">
        <is>
          <t xml:space="preserve">    现金净变动</t>
        </is>
      </c>
      <c r="C21" s="23">
        <f>Toc_BS_CF!C19+Toc_BS_CF!C20</f>
        <v/>
      </c>
      <c r="D21" s="23">
        <f>Toc_BS_CF!D19+Toc_BS_CF!D20</f>
        <v/>
      </c>
      <c r="E21" s="23">
        <f>Toc_BS_CF!E19+Toc_BS_CF!E20</f>
        <v/>
      </c>
      <c r="F21" s="23">
        <f>Toc_BS_CF!F19+Toc_BS_CF!F20</f>
        <v/>
      </c>
      <c r="G21" s="23">
        <f>Toc_BS_CF!G19+Toc_BS_CF!G20</f>
        <v/>
      </c>
    </row>
    <row r="22">
      <c r="A22" s="3" t="inlineStr">
        <is>
          <t xml:space="preserve">    期末现金（CF）</t>
        </is>
      </c>
      <c r="C22" s="23">
        <f>7000+Toc_BS_CF!C19+Toc_BS_CF!C20</f>
        <v/>
      </c>
      <c r="D22" s="23">
        <f>C22+Toc_BS_CF!D19+Toc_BS_CF!D20</f>
        <v/>
      </c>
      <c r="E22" s="23">
        <f>D22+Toc_BS_CF!E19+Toc_BS_CF!E20</f>
        <v/>
      </c>
      <c r="F22" s="23">
        <f>E22+Toc_BS_CF!F19+Toc_BS_CF!F20</f>
        <v/>
      </c>
      <c r="G22" s="23">
        <f>F22+Toc_BS_CF!G19+Toc_BS_CF!G20</f>
        <v/>
      </c>
    </row>
    <row r="23">
      <c r="A23" s="3" t="inlineStr">
        <is>
          <t>★ CF=BS 差异（应全 0）</t>
        </is>
      </c>
      <c r="C23" s="24" t="n"/>
      <c r="D23" s="24" t="n"/>
      <c r="E23" s="24" t="n"/>
      <c r="F23" s="24" t="n"/>
      <c r="G23" s="24" t="n"/>
    </row>
    <row r="24">
      <c r="A24" s="5" t="inlineStr">
        <is>
          <t xml:space="preserve">  CF推导 − BS倒挤</t>
        </is>
      </c>
      <c r="C24" s="28">
        <f>Toc_BS_CF!C22-Toc_BS_CF!C12</f>
        <v/>
      </c>
      <c r="D24" s="28">
        <f>Toc_BS_CF!D22-Toc_BS_CF!D12</f>
        <v/>
      </c>
      <c r="E24" s="28">
        <f>Toc_BS_CF!E22-Toc_BS_CF!E12</f>
        <v/>
      </c>
      <c r="F24" s="28">
        <f>Toc_BS_CF!F22-Toc_BS_CF!F12</f>
        <v/>
      </c>
      <c r="G24" s="28">
        <f>Toc_BS_CF!G22-Toc_BS_CF!G12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G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利润表</t>
        </is>
      </c>
    </row>
    <row r="2">
      <c r="A2" s="2" t="inlineStr">
        <is>
          <t>单体 | 全关联收入，无对外收入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关联收入 · T1 模型 license</t>
        </is>
      </c>
      <c r="B4" s="2" t="inlineStr">
        <is>
          <t>三家子公司对外收入×费率</t>
        </is>
      </c>
      <c r="C4" s="8">
        <f>Cloud_IS!C4*Assumptions!C48+Ind_IS!C6*Assumptions!C49+Toc_IS!C6*Assumptions!C50</f>
        <v/>
      </c>
      <c r="D4" s="8">
        <f>Cloud_IS!D4*Assumptions!D48+Ind_IS!D6*Assumptions!D49+Toc_IS!D6*Assumptions!D50</f>
        <v/>
      </c>
      <c r="E4" s="8">
        <f>Cloud_IS!E4*Assumptions!E48+Ind_IS!E6*Assumptions!E49+Toc_IS!E6*Assumptions!E50</f>
        <v/>
      </c>
      <c r="F4" s="8">
        <f>Cloud_IS!F4*Assumptions!F48+Ind_IS!F6*Assumptions!F49+Toc_IS!F6*Assumptions!F50</f>
        <v/>
      </c>
      <c r="G4" s="8">
        <f>Cloud_IS!G4*Assumptions!G48+Ind_IS!G6*Assumptions!G49+Toc_IS!G6*Assumptions!G50</f>
        <v/>
      </c>
    </row>
    <row r="5">
      <c r="A5" s="5" t="inlineStr">
        <is>
          <t xml:space="preserve">    关联收入 · T2 定制研发服务</t>
        </is>
      </c>
      <c r="B5" s="2" t="inlineStr">
        <is>
          <t>行业子公司</t>
        </is>
      </c>
      <c r="C5" s="8">
        <f>Assumptions!C51</f>
        <v/>
      </c>
      <c r="D5" s="8">
        <f>Assumptions!D51</f>
        <v/>
      </c>
      <c r="E5" s="8">
        <f>Assumptions!E51</f>
        <v/>
      </c>
      <c r="F5" s="8">
        <f>Assumptions!F51</f>
        <v/>
      </c>
      <c r="G5" s="8">
        <f>Assumptions!G51</f>
        <v/>
      </c>
    </row>
    <row r="6">
      <c r="A6" s="3" t="inlineStr">
        <is>
          <t xml:space="preserve">    营业收入合计</t>
        </is>
      </c>
      <c r="C6" s="23">
        <f>HoldCo_IS!C4+HoldCo_IS!C5</f>
        <v/>
      </c>
      <c r="D6" s="23">
        <f>HoldCo_IS!D4+HoldCo_IS!D5</f>
        <v/>
      </c>
      <c r="E6" s="23">
        <f>HoldCo_IS!E4+HoldCo_IS!E5</f>
        <v/>
      </c>
      <c r="F6" s="23">
        <f>HoldCo_IS!F4+HoldCo_IS!F5</f>
        <v/>
      </c>
      <c r="G6" s="23">
        <f>HoldCo_IS!G4+HoldCo_IS!G5</f>
        <v/>
      </c>
    </row>
    <row r="7">
      <c r="A7" s="5" t="inlineStr">
        <is>
          <t xml:space="preserve">    营业成本</t>
        </is>
      </c>
      <c r="B7" s="2" t="inlineStr">
        <is>
          <t>研究院无直接 COGS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</row>
    <row r="8">
      <c r="A8" s="3" t="inlineStr">
        <is>
          <t xml:space="preserve">    毛利润</t>
        </is>
      </c>
      <c r="C8" s="23">
        <f>HoldCo_IS!C6-HoldCo_IS!C7</f>
        <v/>
      </c>
      <c r="D8" s="23">
        <f>HoldCo_IS!D6-HoldCo_IS!D7</f>
        <v/>
      </c>
      <c r="E8" s="23">
        <f>HoldCo_IS!E6-HoldCo_IS!E7</f>
        <v/>
      </c>
      <c r="F8" s="23">
        <f>HoldCo_IS!F6-HoldCo_IS!F7</f>
        <v/>
      </c>
      <c r="G8" s="23">
        <f>HoldCo_IS!G6-HoldCo_IS!G7</f>
        <v/>
      </c>
    </row>
    <row r="9">
      <c r="A9" s="5" t="inlineStr">
        <is>
          <t xml:space="preserve">    研发费用</t>
        </is>
      </c>
      <c r="B9" s="2" t="inlineStr">
        <is>
          <t>编制+训练折旧+其他</t>
        </is>
      </c>
      <c r="C9" s="8">
        <f>Assumptions!C42*Assumptions!C43+Capex_Dep!C22+Assumptions!C44</f>
        <v/>
      </c>
      <c r="D9" s="8">
        <f>Assumptions!D42*Assumptions!D43+Capex_Dep!D22+Assumptions!D44</f>
        <v/>
      </c>
      <c r="E9" s="8">
        <f>Assumptions!E42*Assumptions!E43+Capex_Dep!E22+Assumptions!E44</f>
        <v/>
      </c>
      <c r="F9" s="8">
        <f>Assumptions!F42*Assumptions!F43+Capex_Dep!F22+Assumptions!F44</f>
        <v/>
      </c>
      <c r="G9" s="8">
        <f>Assumptions!G42*Assumptions!G43+Capex_Dep!G22+Assumptions!G44</f>
        <v/>
      </c>
    </row>
    <row r="10">
      <c r="A10" s="5" t="inlineStr">
        <is>
          <t xml:space="preserve">    销售费用</t>
        </is>
      </c>
      <c r="C10" s="8" t="n">
        <v>0</v>
      </c>
      <c r="D10" s="8" t="n">
        <v>0</v>
      </c>
      <c r="E10" s="8" t="n">
        <v>0</v>
      </c>
      <c r="F10" s="8" t="n">
        <v>0</v>
      </c>
      <c r="G10" s="8" t="n">
        <v>0</v>
      </c>
    </row>
    <row r="11">
      <c r="A11" s="5" t="inlineStr">
        <is>
          <t xml:space="preserve">    管理费用</t>
        </is>
      </c>
      <c r="C11" s="8">
        <f>Assumptions!C45*Assumptions!C46</f>
        <v/>
      </c>
      <c r="D11" s="8">
        <f>Assumptions!D45*Assumptions!D46</f>
        <v/>
      </c>
      <c r="E11" s="8">
        <f>Assumptions!E45*Assumptions!E46</f>
        <v/>
      </c>
      <c r="F11" s="8">
        <f>Assumptions!F45*Assumptions!F46</f>
        <v/>
      </c>
      <c r="G11" s="8">
        <f>Assumptions!G45*Assumptions!G46</f>
        <v/>
      </c>
    </row>
    <row r="12">
      <c r="A12" s="3" t="inlineStr">
        <is>
          <t xml:space="preserve">    EBIT</t>
        </is>
      </c>
      <c r="C12" s="23">
        <f>HoldCo_IS!C8-HoldCo_IS!C9-HoldCo_IS!C10-HoldCo_IS!C11</f>
        <v/>
      </c>
      <c r="D12" s="23">
        <f>HoldCo_IS!D8-HoldCo_IS!D9-HoldCo_IS!D10-HoldCo_IS!D11</f>
        <v/>
      </c>
      <c r="E12" s="23">
        <f>HoldCo_IS!E8-HoldCo_IS!E9-HoldCo_IS!E10-HoldCo_IS!E11</f>
        <v/>
      </c>
      <c r="F12" s="23">
        <f>HoldCo_IS!F8-HoldCo_IS!F9-HoldCo_IS!F10-HoldCo_IS!F11</f>
        <v/>
      </c>
      <c r="G12" s="23">
        <f>HoldCo_IS!G8-HoldCo_IS!G9-HoldCo_IS!G10-HoldCo_IS!G11</f>
        <v/>
      </c>
    </row>
    <row r="13">
      <c r="A13" s="5" t="inlineStr">
        <is>
          <t xml:space="preserve">    所得税（亏损不确认）</t>
        </is>
      </c>
      <c r="C13" s="8">
        <f>MAX(0,HoldCo_IS!C12)*Assumptions!C5</f>
        <v/>
      </c>
      <c r="D13" s="8">
        <f>MAX(0,HoldCo_IS!D12)*Assumptions!D5</f>
        <v/>
      </c>
      <c r="E13" s="8">
        <f>MAX(0,HoldCo_IS!E12)*Assumptions!E5</f>
        <v/>
      </c>
      <c r="F13" s="8">
        <f>MAX(0,HoldCo_IS!F12)*Assumptions!F5</f>
        <v/>
      </c>
      <c r="G13" s="8">
        <f>MAX(0,HoldCo_IS!G12)*Assumptions!G5</f>
        <v/>
      </c>
    </row>
    <row r="14">
      <c r="A14" s="3" t="inlineStr">
        <is>
          <t xml:space="preserve">    净利润</t>
        </is>
      </c>
      <c r="C14" s="23">
        <f>HoldCo_IS!C12-HoldCo_IS!C13</f>
        <v/>
      </c>
      <c r="D14" s="23">
        <f>HoldCo_IS!D12-HoldCo_IS!D13</f>
        <v/>
      </c>
      <c r="E14" s="23">
        <f>HoldCo_IS!E12-HoldCo_IS!E13</f>
        <v/>
      </c>
      <c r="F14" s="23">
        <f>HoldCo_IS!F12-HoldCo_IS!F13</f>
        <v/>
      </c>
      <c r="G14" s="23">
        <f>HoldCo_IS!G12-HoldCo_IS!G13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资产负债表</t>
        </is>
      </c>
    </row>
    <row r="2">
      <c r="A2" s="2" t="inlineStr">
        <is>
          <t>单体 | 现金=倒挤项 → 结构性平衡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应收账款</t>
        </is>
      </c>
      <c r="B4" s="2" t="inlineStr">
        <is>
          <t>无对外收入，应收为 0</t>
        </is>
      </c>
      <c r="C4" s="8" t="n">
        <v>0</v>
      </c>
      <c r="D4" s="8" t="n">
        <v>0</v>
      </c>
      <c r="E4" s="8" t="n">
        <v>0</v>
      </c>
      <c r="F4" s="8" t="n">
        <v>0</v>
      </c>
      <c r="G4" s="8" t="n">
        <v>0</v>
      </c>
    </row>
    <row r="5">
      <c r="A5" s="5" t="inlineStr">
        <is>
          <t xml:space="preserve">    内部应收（关联往来）</t>
        </is>
      </c>
      <c r="B5" s="2" t="inlineStr">
        <is>
          <t>T1+T2 × 60天</t>
        </is>
      </c>
      <c r="C5" s="8">
        <f>(HoldCo_IS!C4+HoldCo_IS!C5)*Assumptions!C8/365</f>
        <v/>
      </c>
      <c r="D5" s="8">
        <f>(HoldCo_IS!D4+HoldCo_IS!D5)*Assumptions!D8/365</f>
        <v/>
      </c>
      <c r="E5" s="8">
        <f>(HoldCo_IS!E4+HoldCo_IS!E5)*Assumptions!E8/365</f>
        <v/>
      </c>
      <c r="F5" s="8">
        <f>(HoldCo_IS!F4+HoldCo_IS!F5)*Assumptions!F8/365</f>
        <v/>
      </c>
      <c r="G5" s="8">
        <f>(HoldCo_IS!G4+HoldCo_IS!G5)*Assumptions!G8/365</f>
        <v/>
      </c>
    </row>
    <row r="6">
      <c r="A6" s="5" t="inlineStr">
        <is>
          <t xml:space="preserve">    固定资产 · GPU 净值</t>
        </is>
      </c>
      <c r="B6" s="2" t="inlineStr">
        <is>
          <t>训练算力</t>
        </is>
      </c>
      <c r="C6" s="8">
        <f>Capex_Dep!C23</f>
        <v/>
      </c>
      <c r="D6" s="8">
        <f>Capex_Dep!D23</f>
        <v/>
      </c>
      <c r="E6" s="8">
        <f>Capex_Dep!E23</f>
        <v/>
      </c>
      <c r="F6" s="8">
        <f>Capex_Dep!F23</f>
        <v/>
      </c>
      <c r="G6" s="8">
        <f>Capex_Dep!G23</f>
        <v/>
      </c>
    </row>
    <row r="7">
      <c r="A7" s="5" t="inlineStr">
        <is>
          <t xml:space="preserve">    长期股权投资</t>
        </is>
      </c>
      <c r="B7" s="2" t="inlineStr">
        <is>
          <t>成本法：期初+对子公司注资</t>
        </is>
      </c>
      <c r="C7" s="8">
        <f>Assumptions!C76+(Assumptions!C57+Assumptions!C58+Assumptions!C59*0.8)</f>
        <v/>
      </c>
      <c r="D7" s="8">
        <f>C7+(Assumptions!D57+Assumptions!D58+Assumptions!D59*0.8)</f>
        <v/>
      </c>
      <c r="E7" s="8">
        <f>D7+(Assumptions!E57+Assumptions!E58+Assumptions!E59*0.8)</f>
        <v/>
      </c>
      <c r="F7" s="8">
        <f>E7+(Assumptions!F57+Assumptions!F58+Assumptions!F59*0.8)</f>
        <v/>
      </c>
      <c r="G7" s="8">
        <f>F7+(Assumptions!G57+Assumptions!G58+Assumptions!G59*0.8)</f>
        <v/>
      </c>
    </row>
    <row r="8">
      <c r="A8" s="3" t="inlineStr">
        <is>
          <t>非现金资产合计</t>
        </is>
      </c>
      <c r="B8" s="2" t="inlineStr">
        <is>
          <t>（辅助行）</t>
        </is>
      </c>
      <c r="C8" s="23">
        <f>HoldCo_BS!C4+HoldCo_BS!C5+HoldCo_BS!C6+HoldCo_BS!C7</f>
        <v/>
      </c>
      <c r="D8" s="23">
        <f>HoldCo_BS!D4+HoldCo_BS!D5+HoldCo_BS!D6+HoldCo_BS!D7</f>
        <v/>
      </c>
      <c r="E8" s="23">
        <f>HoldCo_BS!E4+HoldCo_BS!E5+HoldCo_BS!E6+HoldCo_BS!E7</f>
        <v/>
      </c>
      <c r="F8" s="23">
        <f>HoldCo_BS!F4+HoldCo_BS!F5+HoldCo_BS!F6+HoldCo_BS!F7</f>
        <v/>
      </c>
      <c r="G8" s="23">
        <f>HoldCo_BS!G4+HoldCo_BS!G5+HoldCo_BS!G6+HoldCo_BS!G7</f>
        <v/>
      </c>
    </row>
    <row r="10">
      <c r="A10" s="5" t="inlineStr">
        <is>
          <t xml:space="preserve">    应付账款</t>
        </is>
      </c>
      <c r="B10" s="2" t="inlineStr">
        <is>
          <t>现金成本×DPO</t>
        </is>
      </c>
      <c r="C10" s="8">
        <f>(HoldCo_IS!C7+HoldCo_IS!C9+HoldCo_IS!C10+HoldCo_IS!C11-Capex_Dep!C22)*Assumptions!C7/365</f>
        <v/>
      </c>
      <c r="D10" s="8">
        <f>(HoldCo_IS!D7+HoldCo_IS!D9+HoldCo_IS!D10+HoldCo_IS!D11-Capex_Dep!D22)*Assumptions!D7/365</f>
        <v/>
      </c>
      <c r="E10" s="8">
        <f>(HoldCo_IS!E7+HoldCo_IS!E9+HoldCo_IS!E10+HoldCo_IS!E11-Capex_Dep!E22)*Assumptions!E7/365</f>
        <v/>
      </c>
      <c r="F10" s="8">
        <f>(HoldCo_IS!F7+HoldCo_IS!F9+HoldCo_IS!F10+HoldCo_IS!F11-Capex_Dep!F22)*Assumptions!F7/365</f>
        <v/>
      </c>
      <c r="G10" s="8">
        <f>(HoldCo_IS!G7+HoldCo_IS!G9+HoldCo_IS!G10+HoldCo_IS!G11-Capex_Dep!G22)*Assumptions!G7/365</f>
        <v/>
      </c>
    </row>
    <row r="11">
      <c r="A11" s="5" t="inlineStr">
        <is>
          <t xml:space="preserve">    内部应付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</row>
    <row r="12">
      <c r="A12" s="5" t="inlineStr">
        <is>
          <t xml:space="preserve">    递延收益</t>
        </is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</row>
    <row r="13">
      <c r="A13" s="3" t="inlineStr">
        <is>
          <t>负债合计</t>
        </is>
      </c>
      <c r="C13" s="23">
        <f>HoldCo_BS!C10+HoldCo_BS!C11+HoldCo_BS!C12</f>
        <v/>
      </c>
      <c r="D13" s="23">
        <f>HoldCo_BS!D10+HoldCo_BS!D11+HoldCo_BS!D12</f>
        <v/>
      </c>
      <c r="E13" s="23">
        <f>HoldCo_BS!E10+HoldCo_BS!E11+HoldCo_BS!E12</f>
        <v/>
      </c>
      <c r="F13" s="23">
        <f>HoldCo_BS!F10+HoldCo_BS!F11+HoldCo_BS!F12</f>
        <v/>
      </c>
      <c r="G13" s="23">
        <f>HoldCo_BS!G10+HoldCo_BS!G11+HoldCo_BS!G12</f>
        <v/>
      </c>
    </row>
    <row r="14">
      <c r="A14" s="5" t="inlineStr">
        <is>
          <t xml:space="preserve">    实收资本</t>
        </is>
      </c>
      <c r="C14" s="8">
        <f>Assumptions!C67+Assumptions!C56</f>
        <v/>
      </c>
      <c r="D14" s="8">
        <f>C14+Assumptions!D56</f>
        <v/>
      </c>
      <c r="E14" s="8">
        <f>D14+Assumptions!E56</f>
        <v/>
      </c>
      <c r="F14" s="8">
        <f>E14+Assumptions!F56</f>
        <v/>
      </c>
      <c r="G14" s="8">
        <f>F14+Assumptions!G56</f>
        <v/>
      </c>
    </row>
    <row r="15">
      <c r="A15" s="5" t="inlineStr">
        <is>
          <t xml:space="preserve">    未分配利润</t>
        </is>
      </c>
      <c r="B15" s="2" t="inlineStr">
        <is>
          <t>期初+NI，无分红</t>
        </is>
      </c>
      <c r="C15" s="8">
        <f>Assumptions!C66+HoldCo_IS!C14</f>
        <v/>
      </c>
      <c r="D15" s="8">
        <f>C15+HoldCo_IS!D14</f>
        <v/>
      </c>
      <c r="E15" s="8">
        <f>D15+HoldCo_IS!E14</f>
        <v/>
      </c>
      <c r="F15" s="8">
        <f>E15+HoldCo_IS!F14</f>
        <v/>
      </c>
      <c r="G15" s="8">
        <f>F15+HoldCo_IS!G14</f>
        <v/>
      </c>
    </row>
    <row r="16">
      <c r="A16" s="3" t="inlineStr">
        <is>
          <t>所有者权益合计</t>
        </is>
      </c>
      <c r="C16" s="23">
        <f>HoldCo_BS!C14+HoldCo_BS!C15</f>
        <v/>
      </c>
      <c r="D16" s="23">
        <f>HoldCo_BS!D14+HoldCo_BS!D15</f>
        <v/>
      </c>
      <c r="E16" s="23">
        <f>HoldCo_BS!E14+HoldCo_BS!E15</f>
        <v/>
      </c>
      <c r="F16" s="23">
        <f>HoldCo_BS!F14+HoldCo_BS!F15</f>
        <v/>
      </c>
      <c r="G16" s="23">
        <f>HoldCo_BS!G14+HoldCo_BS!G15</f>
        <v/>
      </c>
    </row>
    <row r="17">
      <c r="A17" s="3" t="inlineStr">
        <is>
          <t>负债+权益合计</t>
        </is>
      </c>
      <c r="C17" s="23">
        <f>HoldCo_BS!C13+HoldCo_BS!C16</f>
        <v/>
      </c>
      <c r="D17" s="23">
        <f>HoldCo_BS!D13+HoldCo_BS!D16</f>
        <v/>
      </c>
      <c r="E17" s="23">
        <f>HoldCo_BS!E13+HoldCo_BS!E16</f>
        <v/>
      </c>
      <c r="F17" s="23">
        <f>HoldCo_BS!F13+HoldCo_BS!F16</f>
        <v/>
      </c>
      <c r="G17" s="23">
        <f>HoldCo_BS!G13+HoldCo_BS!G16</f>
        <v/>
      </c>
    </row>
    <row r="18">
      <c r="A18" s="26" t="inlineStr">
        <is>
          <t>货币资金（倒挤）</t>
        </is>
      </c>
      <c r="B18" s="2" t="inlineStr">
        <is>
          <t>负债+权益−非现金资产</t>
        </is>
      </c>
      <c r="C18" s="27">
        <f>HoldCo_BS!C17-HoldCo_BS!C8</f>
        <v/>
      </c>
      <c r="D18" s="27">
        <f>HoldCo_BS!D17-HoldCo_BS!D8</f>
        <v/>
      </c>
      <c r="E18" s="27">
        <f>HoldCo_BS!E17-HoldCo_BS!E8</f>
        <v/>
      </c>
      <c r="F18" s="27">
        <f>HoldCo_BS!F17-HoldCo_BS!F8</f>
        <v/>
      </c>
      <c r="G18" s="27">
        <f>HoldCo_BS!G17-HoldCo_BS!G8</f>
        <v/>
      </c>
    </row>
    <row r="19">
      <c r="A19" s="3" t="inlineStr">
        <is>
          <t>资产总计</t>
        </is>
      </c>
      <c r="C19" s="23">
        <f>HoldCo_BS!C18+HoldCo_BS!C8</f>
        <v/>
      </c>
      <c r="D19" s="23">
        <f>HoldCo_BS!D18+HoldCo_BS!D8</f>
        <v/>
      </c>
      <c r="E19" s="23">
        <f>HoldCo_BS!E18+HoldCo_BS!E8</f>
        <v/>
      </c>
      <c r="F19" s="23">
        <f>HoldCo_BS!F18+HoldCo_BS!F8</f>
        <v/>
      </c>
      <c r="G19" s="23">
        <f>HoldCo_BS!G18+HoldCo_BS!G8</f>
        <v/>
      </c>
    </row>
    <row r="20">
      <c r="A20" s="3" t="inlineStr">
        <is>
          <t>★ BS 平衡差（应全 0）</t>
        </is>
      </c>
      <c r="C20" s="24" t="n"/>
      <c r="D20" s="24" t="n"/>
      <c r="E20" s="24" t="n"/>
      <c r="F20" s="24" t="n"/>
      <c r="G20" s="24" t="n"/>
    </row>
    <row r="21">
      <c r="A21" s="5" t="inlineStr">
        <is>
          <t xml:space="preserve">  资产 − 负债 − 权益</t>
        </is>
      </c>
      <c r="C21" s="28">
        <f>HoldCo_BS!C19-HoldCo_BS!C17</f>
        <v/>
      </c>
      <c r="D21" s="28">
        <f>HoldCo_BS!D19-HoldCo_BS!D17</f>
        <v/>
      </c>
      <c r="E21" s="28">
        <f>HoldCo_BS!E19-HoldCo_BS!E17</f>
        <v/>
      </c>
      <c r="F21" s="28">
        <f>HoldCo_BS!F19-HoldCo_BS!F17</f>
        <v/>
      </c>
      <c r="G21" s="28">
        <f>HoldCo_BS!G19-HoldCo_BS!G17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G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现金流量表（间接法）</t>
        </is>
      </c>
    </row>
    <row r="2">
      <c r="A2" s="2" t="inlineStr">
        <is>
          <t>单体 | 独立推导期末现金，与 BS 倒挤现金互为勾稽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净利润</t>
        </is>
      </c>
      <c r="C4" s="8">
        <f>HoldCo_IS!C14</f>
        <v/>
      </c>
      <c r="D4" s="8">
        <f>HoldCo_IS!D14</f>
        <v/>
      </c>
      <c r="E4" s="8">
        <f>HoldCo_IS!E14</f>
        <v/>
      </c>
      <c r="F4" s="8">
        <f>HoldCo_IS!F14</f>
        <v/>
      </c>
      <c r="G4" s="8">
        <f>HoldCo_IS!G14</f>
        <v/>
      </c>
    </row>
    <row r="5">
      <c r="A5" s="5" t="inlineStr">
        <is>
          <t xml:space="preserve">    加：折旧摊销</t>
        </is>
      </c>
      <c r="C5" s="8">
        <f>Capex_Dep!C22</f>
        <v/>
      </c>
      <c r="D5" s="8">
        <f>Capex_Dep!D22</f>
        <v/>
      </c>
      <c r="E5" s="8">
        <f>Capex_Dep!E22</f>
        <v/>
      </c>
      <c r="F5" s="8">
        <f>Capex_Dep!F22</f>
        <v/>
      </c>
      <c r="G5" s="8">
        <f>Capex_Dep!G22</f>
        <v/>
      </c>
    </row>
    <row r="6">
      <c r="A6" s="5" t="inlineStr">
        <is>
          <t xml:space="preserve">    减：应收账款增加</t>
        </is>
      </c>
      <c r="C6" s="8">
        <f>-(HoldCo_BS!C4-(0))</f>
        <v/>
      </c>
      <c r="D6" s="8">
        <f>-(HoldCo_BS!D4-(HoldCo_BS!C4))</f>
        <v/>
      </c>
      <c r="E6" s="8">
        <f>-(HoldCo_BS!E4-(HoldCo_BS!D4))</f>
        <v/>
      </c>
      <c r="F6" s="8">
        <f>-(HoldCo_BS!F4-(HoldCo_BS!E4))</f>
        <v/>
      </c>
      <c r="G6" s="8">
        <f>-(HoldCo_BS!G4-(HoldCo_BS!F4))</f>
        <v/>
      </c>
    </row>
    <row r="7">
      <c r="A7" s="5" t="inlineStr">
        <is>
          <t xml:space="preserve">    内部往来净变动</t>
        </is>
      </c>
      <c r="B7" s="2" t="inlineStr">
        <is>
          <t>Δ应付−Δ应收</t>
        </is>
      </c>
      <c r="C7" s="8">
        <f>(HoldCo_BS!C11-(0))-(HoldCo_BS!C5-(0))</f>
        <v/>
      </c>
      <c r="D7" s="8">
        <f>(HoldCo_BS!D11-(HoldCo_BS!C11))-(HoldCo_BS!D5-(HoldCo_BS!C5))</f>
        <v/>
      </c>
      <c r="E7" s="8">
        <f>(HoldCo_BS!E11-(HoldCo_BS!D11))-(HoldCo_BS!E5-(HoldCo_BS!D5))</f>
        <v/>
      </c>
      <c r="F7" s="8">
        <f>(HoldCo_BS!F11-(HoldCo_BS!E11))-(HoldCo_BS!F5-(HoldCo_BS!E5))</f>
        <v/>
      </c>
      <c r="G7" s="8">
        <f>(HoldCo_BS!G11-(HoldCo_BS!F11))-(HoldCo_BS!G5-(HoldCo_BS!F5))</f>
        <v/>
      </c>
    </row>
    <row r="8">
      <c r="A8" s="5" t="inlineStr">
        <is>
          <t xml:space="preserve">    加：递延收益增加</t>
        </is>
      </c>
      <c r="C8" s="8">
        <f>HoldCo_BS!C12-(0)</f>
        <v/>
      </c>
      <c r="D8" s="8">
        <f>HoldCo_BS!D12-(HoldCo_BS!C12)</f>
        <v/>
      </c>
      <c r="E8" s="8">
        <f>HoldCo_BS!E12-(HoldCo_BS!D12)</f>
        <v/>
      </c>
      <c r="F8" s="8">
        <f>HoldCo_BS!F12-(HoldCo_BS!E12)</f>
        <v/>
      </c>
      <c r="G8" s="8">
        <f>HoldCo_BS!G12-(HoldCo_BS!F12)</f>
        <v/>
      </c>
    </row>
    <row r="9">
      <c r="A9" s="5" t="inlineStr">
        <is>
          <t xml:space="preserve">    加：应付账款增加</t>
        </is>
      </c>
      <c r="C9" s="8">
        <f>HoldCo_BS!C10-(0)</f>
        <v/>
      </c>
      <c r="D9" s="8">
        <f>HoldCo_BS!D10-(HoldCo_BS!C10)</f>
        <v/>
      </c>
      <c r="E9" s="8">
        <f>HoldCo_BS!E10-(HoldCo_BS!D10)</f>
        <v/>
      </c>
      <c r="F9" s="8">
        <f>HoldCo_BS!F10-(HoldCo_BS!E10)</f>
        <v/>
      </c>
      <c r="G9" s="8">
        <f>HoldCo_BS!G10-(HoldCo_BS!F10)</f>
        <v/>
      </c>
    </row>
    <row r="10">
      <c r="A10" s="3" t="inlineStr">
        <is>
          <t xml:space="preserve">    经营活动现金流净额</t>
        </is>
      </c>
      <c r="C10" s="23">
        <f>HoldCo_CF!C4+HoldCo_CF!C5+HoldCo_CF!C6+HoldCo_CF!C7+HoldCo_CF!C8+HoldCo_CF!C9</f>
        <v/>
      </c>
      <c r="D10" s="23">
        <f>HoldCo_CF!D4+HoldCo_CF!D5+HoldCo_CF!D6+HoldCo_CF!D7+HoldCo_CF!D8+HoldCo_CF!D9</f>
        <v/>
      </c>
      <c r="E10" s="23">
        <f>HoldCo_CF!E4+HoldCo_CF!E5+HoldCo_CF!E6+HoldCo_CF!E7+HoldCo_CF!E8+HoldCo_CF!E9</f>
        <v/>
      </c>
      <c r="F10" s="23">
        <f>HoldCo_CF!F4+HoldCo_CF!F5+HoldCo_CF!F6+HoldCo_CF!F7+HoldCo_CF!F8+HoldCo_CF!F9</f>
        <v/>
      </c>
      <c r="G10" s="23">
        <f>HoldCo_CF!G4+HoldCo_CF!G5+HoldCo_CF!G6+HoldCo_CF!G7+HoldCo_CF!G8+HoldCo_CF!G9</f>
        <v/>
      </c>
    </row>
    <row r="11">
      <c r="A11" s="5" t="inlineStr">
        <is>
          <t xml:space="preserve">    购建固定资产</t>
        </is>
      </c>
      <c r="C11" s="8">
        <f>-Capex_Dep!C5</f>
        <v/>
      </c>
      <c r="D11" s="8">
        <f>-Capex_Dep!D5</f>
        <v/>
      </c>
      <c r="E11" s="8">
        <f>-Capex_Dep!E5</f>
        <v/>
      </c>
      <c r="F11" s="8">
        <f>-Capex_Dep!F5</f>
        <v/>
      </c>
      <c r="G11" s="8">
        <f>-Capex_Dep!G5</f>
        <v/>
      </c>
    </row>
    <row r="12">
      <c r="A12" s="5" t="inlineStr">
        <is>
          <t xml:space="preserve">    对子公司增资</t>
        </is>
      </c>
      <c r="B12" s="2" t="inlineStr">
        <is>
          <t>长投增加</t>
        </is>
      </c>
      <c r="C12" s="8">
        <f>-(Assumptions!C57+Assumptions!C58+Assumptions!C59*0.8)</f>
        <v/>
      </c>
      <c r="D12" s="8">
        <f>-(Assumptions!D57+Assumptions!D58+Assumptions!D59*0.8)</f>
        <v/>
      </c>
      <c r="E12" s="8">
        <f>-(Assumptions!E57+Assumptions!E58+Assumptions!E59*0.8)</f>
        <v/>
      </c>
      <c r="F12" s="8">
        <f>-(Assumptions!F57+Assumptions!F58+Assumptions!F59*0.8)</f>
        <v/>
      </c>
      <c r="G12" s="8">
        <f>-(Assumptions!G57+Assumptions!G58+Assumptions!G59*0.8)</f>
        <v/>
      </c>
    </row>
    <row r="13">
      <c r="A13" s="3" t="inlineStr">
        <is>
          <t xml:space="preserve">    投资活动现金流净额</t>
        </is>
      </c>
      <c r="C13" s="23">
        <f>HoldCo_CF!C11+HoldCo_CF!C12</f>
        <v/>
      </c>
      <c r="D13" s="23">
        <f>HoldCo_CF!D11+HoldCo_CF!D12</f>
        <v/>
      </c>
      <c r="E13" s="23">
        <f>HoldCo_CF!E11+HoldCo_CF!E12</f>
        <v/>
      </c>
      <c r="F13" s="23">
        <f>HoldCo_CF!F11+HoldCo_CF!F12</f>
        <v/>
      </c>
      <c r="G13" s="23">
        <f>HoldCo_CF!G11+HoldCo_CF!G12</f>
        <v/>
      </c>
    </row>
    <row r="14">
      <c r="A14" s="5" t="inlineStr">
        <is>
          <t xml:space="preserve">    筹资：股权注资</t>
        </is>
      </c>
      <c r="C14" s="8">
        <f>Assumptions!C56</f>
        <v/>
      </c>
      <c r="D14" s="8">
        <f>Assumptions!D56</f>
        <v/>
      </c>
      <c r="E14" s="8">
        <f>Assumptions!E56</f>
        <v/>
      </c>
      <c r="F14" s="8">
        <f>Assumptions!F56</f>
        <v/>
      </c>
      <c r="G14" s="8">
        <f>Assumptions!G56</f>
        <v/>
      </c>
    </row>
    <row r="15">
      <c r="A15" s="3" t="inlineStr">
        <is>
          <t xml:space="preserve">    现金净变动</t>
        </is>
      </c>
      <c r="C15" s="23">
        <f>HoldCo_CF!C10+HoldCo_CF!C13+HoldCo_CF!C14</f>
        <v/>
      </c>
      <c r="D15" s="23">
        <f>HoldCo_CF!D10+HoldCo_CF!D13+HoldCo_CF!D14</f>
        <v/>
      </c>
      <c r="E15" s="23">
        <f>HoldCo_CF!E10+HoldCo_CF!E13+HoldCo_CF!E14</f>
        <v/>
      </c>
      <c r="F15" s="23">
        <f>HoldCo_CF!F10+HoldCo_CF!F13+HoldCo_CF!F14</f>
        <v/>
      </c>
      <c r="G15" s="23">
        <f>HoldCo_CF!G10+HoldCo_CF!G13+HoldCo_CF!G14</f>
        <v/>
      </c>
    </row>
    <row r="16">
      <c r="A16" s="3" t="inlineStr">
        <is>
          <t xml:space="preserve">    期末现金（CF 推导）</t>
        </is>
      </c>
      <c r="C16" s="23">
        <f>37000+HoldCo_CF!C15</f>
        <v/>
      </c>
      <c r="D16" s="23">
        <f>C16+HoldCo_CF!D15</f>
        <v/>
      </c>
      <c r="E16" s="23">
        <f>D16+HoldCo_CF!E15</f>
        <v/>
      </c>
      <c r="F16" s="23">
        <f>E16+HoldCo_CF!F15</f>
        <v/>
      </c>
      <c r="G16" s="23">
        <f>F16+HoldCo_CF!G15</f>
        <v/>
      </c>
    </row>
    <row r="17">
      <c r="A17" s="5" t="inlineStr">
        <is>
          <t xml:space="preserve">    期末现金（BS 倒挤）</t>
        </is>
      </c>
      <c r="C17" s="8">
        <f>HoldCo_BS!C18</f>
        <v/>
      </c>
      <c r="D17" s="8">
        <f>HoldCo_BS!D18</f>
        <v/>
      </c>
      <c r="E17" s="8">
        <f>HoldCo_BS!E18</f>
        <v/>
      </c>
      <c r="F17" s="8">
        <f>HoldCo_BS!F18</f>
        <v/>
      </c>
      <c r="G17" s="8">
        <f>HoldCo_BS!G18</f>
        <v/>
      </c>
    </row>
    <row r="18">
      <c r="A18" s="3" t="inlineStr">
        <is>
          <t>★ CF=BS 现金差异（应全 0）</t>
        </is>
      </c>
      <c r="C18" s="24" t="n"/>
      <c r="D18" s="24" t="n"/>
      <c r="E18" s="24" t="n"/>
      <c r="F18" s="24" t="n"/>
      <c r="G18" s="24" t="n"/>
    </row>
    <row r="19">
      <c r="A19" s="5" t="inlineStr">
        <is>
          <t xml:space="preserve">  CF推导 − BS倒挤</t>
        </is>
      </c>
      <c r="C19" s="28">
        <f>HoldCo_CF!C16-HoldCo_CF!C17</f>
        <v/>
      </c>
      <c r="D19" s="28">
        <f>HoldCo_CF!D16-HoldCo_CF!D17</f>
        <v/>
      </c>
      <c r="E19" s="28">
        <f>HoldCo_CF!E16-HoldCo_CF!E17</f>
        <v/>
      </c>
      <c r="F19" s="28">
        <f>HoldCo_CF!F16-HoldCo_CF!F17</f>
        <v/>
      </c>
      <c r="G19" s="28">
        <f>HoldCo_CF!G16-HoldCo_CF!G17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内部交易登记簿</t>
        </is>
      </c>
    </row>
    <row r="2">
      <c r="A2" s="2" t="inlineStr">
        <is>
          <t>四类关联交易 · 金额公式全链接单体表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当年交易额 ──</t>
        </is>
      </c>
    </row>
    <row r="5">
      <c r="A5" s="5" t="inlineStr">
        <is>
          <t xml:space="preserve">    T1 license · 研究院 → 智擎云</t>
        </is>
      </c>
      <c r="C5" s="8">
        <f>Cloud_IS!C4*Assumptions!C48</f>
        <v/>
      </c>
      <c r="D5" s="8">
        <f>Cloud_IS!D4*Assumptions!D48</f>
        <v/>
      </c>
      <c r="E5" s="8">
        <f>Cloud_IS!E4*Assumptions!E48</f>
        <v/>
      </c>
      <c r="F5" s="8">
        <f>Cloud_IS!F4*Assumptions!F48</f>
        <v/>
      </c>
      <c r="G5" s="8">
        <f>Cloud_IS!G4*Assumptions!G48</f>
        <v/>
      </c>
    </row>
    <row r="6">
      <c r="A6" s="5" t="inlineStr">
        <is>
          <t xml:space="preserve">    T1 license · 研究院 → 智擎行业</t>
        </is>
      </c>
      <c r="C6" s="8">
        <f>Ind_IS!C6*Assumptions!C49</f>
        <v/>
      </c>
      <c r="D6" s="8">
        <f>Ind_IS!D6*Assumptions!D49</f>
        <v/>
      </c>
      <c r="E6" s="8">
        <f>Ind_IS!E6*Assumptions!E49</f>
        <v/>
      </c>
      <c r="F6" s="8">
        <f>Ind_IS!F6*Assumptions!F49</f>
        <v/>
      </c>
      <c r="G6" s="8">
        <f>Ind_IS!G6*Assumptions!G49</f>
        <v/>
      </c>
    </row>
    <row r="7">
      <c r="A7" s="5" t="inlineStr">
        <is>
          <t xml:space="preserve">    T1 license · 研究院 → 智擎互联</t>
        </is>
      </c>
      <c r="C7" s="8">
        <f>Toc_IS!C6*Assumptions!C50</f>
        <v/>
      </c>
      <c r="D7" s="8">
        <f>Toc_IS!D6*Assumptions!D50</f>
        <v/>
      </c>
      <c r="E7" s="8">
        <f>Toc_IS!E6*Assumptions!E50</f>
        <v/>
      </c>
      <c r="F7" s="8">
        <f>Toc_IS!F6*Assumptions!F50</f>
        <v/>
      </c>
      <c r="G7" s="8">
        <f>Toc_IS!G6*Assumptions!G50</f>
        <v/>
      </c>
    </row>
    <row r="8">
      <c r="A8" s="5" t="inlineStr">
        <is>
          <t xml:space="preserve">    T2 定制研发 · 研究院 → 智擎行业</t>
        </is>
      </c>
      <c r="C8" s="8">
        <f>Assumptions!C51</f>
        <v/>
      </c>
      <c r="D8" s="8">
        <f>Assumptions!D51</f>
        <v/>
      </c>
      <c r="E8" s="8">
        <f>Assumptions!E51</f>
        <v/>
      </c>
      <c r="F8" s="8">
        <f>Assumptions!F51</f>
        <v/>
      </c>
      <c r="G8" s="8">
        <f>Assumptions!G51</f>
        <v/>
      </c>
    </row>
    <row r="9">
      <c r="A9" s="5" t="inlineStr">
        <is>
          <t xml:space="preserve">    T3 算力服务 · 智擎云 → 智擎互联</t>
        </is>
      </c>
      <c r="C9" s="8">
        <f>Assumptions!C31*Assumptions!C35*12*Assumptions!C52</f>
        <v/>
      </c>
      <c r="D9" s="8">
        <f>Assumptions!D31*Assumptions!D35*12*Assumptions!D52</f>
        <v/>
      </c>
      <c r="E9" s="8">
        <f>Assumptions!E31*Assumptions!E35*12*Assumptions!E52</f>
        <v/>
      </c>
      <c r="F9" s="8">
        <f>Assumptions!F31*Assumptions!F35*12*Assumptions!F52</f>
        <v/>
      </c>
      <c r="G9" s="8">
        <f>Assumptions!G31*Assumptions!G35*12*Assumptions!G52</f>
        <v/>
      </c>
    </row>
    <row r="10">
      <c r="A10" s="3" t="inlineStr">
        <is>
          <t xml:space="preserve">    关联交易合计</t>
        </is>
      </c>
      <c r="C10" s="23">
        <f>SUM(IC_Register!C5,IC_Register!C6,IC_Register!C7,IC_Register!C8,IC_Register!C9)</f>
        <v/>
      </c>
      <c r="D10" s="23">
        <f>SUM(IC_Register!D5,IC_Register!D6,IC_Register!D7,IC_Register!D8,IC_Register!D9)</f>
        <v/>
      </c>
      <c r="E10" s="23">
        <f>SUM(IC_Register!E5,IC_Register!E6,IC_Register!E7,IC_Register!E8,IC_Register!E9)</f>
        <v/>
      </c>
      <c r="F10" s="23">
        <f>SUM(IC_Register!F5,IC_Register!F6,IC_Register!F7,IC_Register!F8,IC_Register!F9)</f>
        <v/>
      </c>
      <c r="G10" s="23">
        <f>SUM(IC_Register!G5,IC_Register!G6,IC_Register!G7,IC_Register!G8,IC_Register!G9)</f>
        <v/>
      </c>
    </row>
    <row r="11">
      <c r="A11" s="13" t="inlineStr">
        <is>
          <t>── 期末往来余额（账期60天挂账）──</t>
        </is>
      </c>
    </row>
    <row r="12">
      <c r="A12" s="5" t="inlineStr">
        <is>
          <t xml:space="preserve">    研究院 应收三家（借方）</t>
        </is>
      </c>
      <c r="C12" s="8">
        <f>(IC_Register!C5+IC_Register!C6+IC_Register!C7+IC_Register!C8)*Assumptions!C8/365</f>
        <v/>
      </c>
      <c r="D12" s="8">
        <f>(IC_Register!D5+IC_Register!D6+IC_Register!D7+IC_Register!D8)*Assumptions!D8/365</f>
        <v/>
      </c>
      <c r="E12" s="8">
        <f>(IC_Register!E5+IC_Register!E6+IC_Register!E7+IC_Register!E8)*Assumptions!E8/365</f>
        <v/>
      </c>
      <c r="F12" s="8">
        <f>(IC_Register!F5+IC_Register!F6+IC_Register!F7+IC_Register!F8)*Assumptions!F8/365</f>
        <v/>
      </c>
      <c r="G12" s="8">
        <f>(IC_Register!G5+IC_Register!G6+IC_Register!G7+IC_Register!G8)*Assumptions!G8/365</f>
        <v/>
      </c>
    </row>
    <row r="13">
      <c r="A13" s="5" t="inlineStr">
        <is>
          <t xml:space="preserve">    智擎云 应收互联（T3）</t>
        </is>
      </c>
      <c r="B13" s="2" t="inlineStr">
        <is>
          <t>2027 未含未开票 220</t>
        </is>
      </c>
      <c r="C13" s="8">
        <f>IC_Register!C9*Assumptions!C8/365</f>
        <v/>
      </c>
      <c r="D13" s="8">
        <f>IC_Register!D9*Assumptions!D8/365</f>
        <v/>
      </c>
      <c r="E13" s="8">
        <f>IC_Register!E9*Assumptions!E8/365</f>
        <v/>
      </c>
      <c r="F13" s="8">
        <f>IC_Register!F9*Assumptions!F8/365</f>
        <v/>
      </c>
      <c r="G13" s="8">
        <f>IC_Register!G9*Assumptions!G8/365-Assumptions!G54</f>
        <v/>
      </c>
    </row>
    <row r="14">
      <c r="A14" s="5" t="inlineStr">
        <is>
          <t xml:space="preserve">    智擎云 应付研究院（T1）</t>
        </is>
      </c>
      <c r="C14" s="8">
        <f>IC_Register!C5*Assumptions!C8/365</f>
        <v/>
      </c>
      <c r="D14" s="8">
        <f>IC_Register!D5*Assumptions!D8/365</f>
        <v/>
      </c>
      <c r="E14" s="8">
        <f>IC_Register!E5*Assumptions!E8/365</f>
        <v/>
      </c>
      <c r="F14" s="8">
        <f>IC_Register!F5*Assumptions!F8/365</f>
        <v/>
      </c>
      <c r="G14" s="8">
        <f>IC_Register!G5*Assumptions!G8/365</f>
        <v/>
      </c>
    </row>
    <row r="15">
      <c r="A15" s="5" t="inlineStr">
        <is>
          <t xml:space="preserve">    智擎行业 应付研究院（T1+T2）</t>
        </is>
      </c>
      <c r="C15" s="8">
        <f>(IC_Register!C6+IC_Register!C8)*Assumptions!C8/365</f>
        <v/>
      </c>
      <c r="D15" s="8">
        <f>(IC_Register!D6+IC_Register!D8)*Assumptions!D8/365</f>
        <v/>
      </c>
      <c r="E15" s="8">
        <f>(IC_Register!E6+IC_Register!E8)*Assumptions!E8/365</f>
        <v/>
      </c>
      <c r="F15" s="8">
        <f>(IC_Register!F6+IC_Register!F8)*Assumptions!F8/365</f>
        <v/>
      </c>
      <c r="G15" s="8">
        <f>(IC_Register!G6+IC_Register!G8)*Assumptions!G8/365</f>
        <v/>
      </c>
    </row>
    <row r="16">
      <c r="A16" s="5" t="inlineStr">
        <is>
          <t xml:space="preserve">    智擎互联 应付（T3+T1，含在途）</t>
        </is>
      </c>
      <c r="C16" s="8">
        <f>(IC_Register!C9+IC_Register!C7)*Assumptions!C8/365</f>
        <v/>
      </c>
      <c r="D16" s="8">
        <f>(IC_Register!D9+IC_Register!D7)*Assumptions!D8/365</f>
        <v/>
      </c>
      <c r="E16" s="8">
        <f>(IC_Register!E9+IC_Register!E7)*Assumptions!E8/365</f>
        <v/>
      </c>
      <c r="F16" s="8">
        <f>(IC_Register!F9+IC_Register!F7)*Assumptions!F8/365</f>
        <v/>
      </c>
      <c r="G16" s="8">
        <f>(IC_Register!G9+IC_Register!G7)*Assumptions!G8/365</f>
        <v/>
      </c>
    </row>
    <row r="17">
      <c r="A17" s="3" t="inlineStr">
        <is>
          <t xml:space="preserve">    内部应收合计</t>
        </is>
      </c>
      <c r="C17" s="23">
        <f>IC_Register!C12+IC_Register!C13</f>
        <v/>
      </c>
      <c r="D17" s="23">
        <f>IC_Register!D12+IC_Register!D13</f>
        <v/>
      </c>
      <c r="E17" s="23">
        <f>IC_Register!E12+IC_Register!E13</f>
        <v/>
      </c>
      <c r="F17" s="23">
        <f>IC_Register!F12+IC_Register!F13</f>
        <v/>
      </c>
      <c r="G17" s="23">
        <f>IC_Register!G12+IC_Register!G13</f>
        <v/>
      </c>
    </row>
    <row r="18">
      <c r="A18" s="3" t="inlineStr">
        <is>
          <t xml:space="preserve">    内部应付合计</t>
        </is>
      </c>
      <c r="C18" s="23">
        <f>IC_Register!C14+IC_Register!C15+IC_Register!C16</f>
        <v/>
      </c>
      <c r="D18" s="23">
        <f>IC_Register!D14+IC_Register!D15+IC_Register!D16</f>
        <v/>
      </c>
      <c r="E18" s="23">
        <f>IC_Register!E14+IC_Register!E15+IC_Register!E16</f>
        <v/>
      </c>
      <c r="F18" s="23">
        <f>IC_Register!F14+IC_Register!F15+IC_Register!F16</f>
        <v/>
      </c>
      <c r="G18" s="23">
        <f>IC_Register!G14+IC_Register!G15+IC_Register!G16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G2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关联方对账矩阵 · 双边核对 + 在途调节</t>
        </is>
      </c>
    </row>
    <row r="2">
      <c r="A2" s="2" t="inlineStr">
        <is>
          <t>差异可见 → 调节 → 归零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双边核对（A 账上应收 B  vs  B 账上应付 A）──</t>
        </is>
      </c>
    </row>
    <row r="5">
      <c r="A5" s="5" t="inlineStr">
        <is>
          <t xml:space="preserve">    研究院 ↔ 智擎云：研究院应收</t>
        </is>
      </c>
      <c r="C5" s="8">
        <f>IC_Register!C5*Assumptions!C8/365</f>
        <v/>
      </c>
      <c r="D5" s="8">
        <f>IC_Register!D5*Assumptions!D8/365</f>
        <v/>
      </c>
      <c r="E5" s="8">
        <f>IC_Register!E5*Assumptions!E8/365</f>
        <v/>
      </c>
      <c r="F5" s="8">
        <f>IC_Register!F5*Assumptions!F8/365</f>
        <v/>
      </c>
      <c r="G5" s="8">
        <f>IC_Register!G5*Assumptions!G8/365</f>
        <v/>
      </c>
    </row>
    <row r="6">
      <c r="A6" s="5" t="inlineStr">
        <is>
          <t xml:space="preserve">    研究院 ↔ 智擎云：云应付</t>
        </is>
      </c>
      <c r="C6" s="8">
        <f>IC_Register!C14</f>
        <v/>
      </c>
      <c r="D6" s="8">
        <f>IC_Register!D14</f>
        <v/>
      </c>
      <c r="E6" s="8">
        <f>IC_Register!E14</f>
        <v/>
      </c>
      <c r="F6" s="8">
        <f>IC_Register!F14</f>
        <v/>
      </c>
      <c r="G6" s="8">
        <f>IC_Register!G14</f>
        <v/>
      </c>
    </row>
    <row r="7">
      <c r="A7" s="3" t="inlineStr">
        <is>
          <t xml:space="preserve">    差异</t>
        </is>
      </c>
      <c r="C7" s="23">
        <f>IC_Recon!C5-IC_Recon!C6</f>
        <v/>
      </c>
      <c r="D7" s="23">
        <f>IC_Recon!D5-IC_Recon!D6</f>
        <v/>
      </c>
      <c r="E7" s="23">
        <f>IC_Recon!E5-IC_Recon!E6</f>
        <v/>
      </c>
      <c r="F7" s="23">
        <f>IC_Recon!F5-IC_Recon!F6</f>
        <v/>
      </c>
      <c r="G7" s="23">
        <f>IC_Recon!G5-IC_Recon!G6</f>
        <v/>
      </c>
    </row>
    <row r="9">
      <c r="A9" s="5" t="inlineStr">
        <is>
          <t xml:space="preserve">    研究院 ↔ 智擎行业：研究院应收</t>
        </is>
      </c>
      <c r="C9" s="8">
        <f>(IC_Register!C6+IC_Register!C8)*Assumptions!C8/365</f>
        <v/>
      </c>
      <c r="D9" s="8">
        <f>(IC_Register!D6+IC_Register!D8)*Assumptions!D8/365</f>
        <v/>
      </c>
      <c r="E9" s="8">
        <f>(IC_Register!E6+IC_Register!E8)*Assumptions!E8/365</f>
        <v/>
      </c>
      <c r="F9" s="8">
        <f>(IC_Register!F6+IC_Register!F8)*Assumptions!F8/365</f>
        <v/>
      </c>
      <c r="G9" s="8">
        <f>(IC_Register!G6+IC_Register!G8)*Assumptions!G8/365</f>
        <v/>
      </c>
    </row>
    <row r="10">
      <c r="A10" s="5" t="inlineStr">
        <is>
          <t xml:space="preserve">    研究院 ↔ 智擎行业：行业应付</t>
        </is>
      </c>
      <c r="C10" s="8">
        <f>IC_Register!C15</f>
        <v/>
      </c>
      <c r="D10" s="8">
        <f>IC_Register!D15</f>
        <v/>
      </c>
      <c r="E10" s="8">
        <f>IC_Register!E15</f>
        <v/>
      </c>
      <c r="F10" s="8">
        <f>IC_Register!F15</f>
        <v/>
      </c>
      <c r="G10" s="8">
        <f>IC_Register!G15</f>
        <v/>
      </c>
    </row>
    <row r="11">
      <c r="A11" s="3" t="inlineStr">
        <is>
          <t xml:space="preserve">    差异</t>
        </is>
      </c>
      <c r="C11" s="23">
        <f>IC_Recon!C9-IC_Recon!C10</f>
        <v/>
      </c>
      <c r="D11" s="23">
        <f>IC_Recon!D9-IC_Recon!D10</f>
        <v/>
      </c>
      <c r="E11" s="23">
        <f>IC_Recon!E9-IC_Recon!E10</f>
        <v/>
      </c>
      <c r="F11" s="23">
        <f>IC_Recon!F9-IC_Recon!F10</f>
        <v/>
      </c>
      <c r="G11" s="23">
        <f>IC_Recon!G9-IC_Recon!G10</f>
        <v/>
      </c>
    </row>
    <row r="13">
      <c r="A13" s="5" t="inlineStr">
        <is>
          <t xml:space="preserve">    研究院 ↔ 智擎互联：研究院应收</t>
        </is>
      </c>
      <c r="C13" s="8">
        <f>IC_Register!C7*Assumptions!C8/365</f>
        <v/>
      </c>
      <c r="D13" s="8">
        <f>IC_Register!D7*Assumptions!D8/365</f>
        <v/>
      </c>
      <c r="E13" s="8">
        <f>IC_Register!E7*Assumptions!E8/365</f>
        <v/>
      </c>
      <c r="F13" s="8">
        <f>IC_Register!F7*Assumptions!F8/365</f>
        <v/>
      </c>
      <c r="G13" s="8">
        <f>IC_Register!G7*Assumptions!G8/365</f>
        <v/>
      </c>
    </row>
    <row r="14">
      <c r="A14" s="5" t="inlineStr">
        <is>
          <t xml:space="preserve">    研究院 ↔ 智擎互联：互联应付（T1部分）</t>
        </is>
      </c>
      <c r="C14" s="8">
        <f>IC_Register!C7*Assumptions!C8/365</f>
        <v/>
      </c>
      <c r="D14" s="8">
        <f>IC_Register!D7*Assumptions!D8/365</f>
        <v/>
      </c>
      <c r="E14" s="8">
        <f>IC_Register!E7*Assumptions!E8/365</f>
        <v/>
      </c>
      <c r="F14" s="8">
        <f>IC_Register!F7*Assumptions!F8/365</f>
        <v/>
      </c>
      <c r="G14" s="8">
        <f>IC_Register!G7*Assumptions!G8/365</f>
        <v/>
      </c>
    </row>
    <row r="15">
      <c r="A15" s="3" t="inlineStr">
        <is>
          <t xml:space="preserve">    差异</t>
        </is>
      </c>
      <c r="C15" s="23">
        <f>IC_Recon!C13-IC_Recon!C14</f>
        <v/>
      </c>
      <c r="D15" s="23">
        <f>IC_Recon!D13-IC_Recon!D14</f>
        <v/>
      </c>
      <c r="E15" s="23">
        <f>IC_Recon!E13-IC_Recon!E14</f>
        <v/>
      </c>
      <c r="F15" s="23">
        <f>IC_Recon!F13-IC_Recon!F14</f>
        <v/>
      </c>
      <c r="G15" s="23">
        <f>IC_Recon!G13-IC_Recon!G14</f>
        <v/>
      </c>
    </row>
    <row r="17">
      <c r="A17" s="5" t="inlineStr">
        <is>
          <t xml:space="preserve">    智擎云 ↔ 智擎互联：云应收（未开票−220）</t>
        </is>
      </c>
      <c r="C17" s="8">
        <f>IC_Register!C13</f>
        <v/>
      </c>
      <c r="D17" s="8">
        <f>IC_Register!D13</f>
        <v/>
      </c>
      <c r="E17" s="8">
        <f>IC_Register!E13</f>
        <v/>
      </c>
      <c r="F17" s="8">
        <f>IC_Register!F13</f>
        <v/>
      </c>
      <c r="G17" s="8">
        <f>IC_Register!G13</f>
        <v/>
      </c>
    </row>
    <row r="18">
      <c r="A18" s="5" t="inlineStr">
        <is>
          <t xml:space="preserve">    智擎云 ↔ 智擎互联：互联应付（全额挂账）</t>
        </is>
      </c>
      <c r="C18" s="8">
        <f>IC_Register!C9*Assumptions!C8/365</f>
        <v/>
      </c>
      <c r="D18" s="8">
        <f>IC_Register!D9*Assumptions!D8/365</f>
        <v/>
      </c>
      <c r="E18" s="8">
        <f>IC_Register!E9*Assumptions!E8/365</f>
        <v/>
      </c>
      <c r="F18" s="8">
        <f>IC_Register!F9*Assumptions!F8/365</f>
        <v/>
      </c>
      <c r="G18" s="8">
        <f>IC_Register!G9*Assumptions!G8/365</f>
        <v/>
      </c>
    </row>
    <row r="19">
      <c r="A19" s="29" t="inlineStr">
        <is>
          <t xml:space="preserve">    差异（2027 = 在途 220）</t>
        </is>
      </c>
      <c r="C19" s="30">
        <f>IC_Recon!C17-IC_Recon!C18</f>
        <v/>
      </c>
      <c r="D19" s="30">
        <f>IC_Recon!D17-IC_Recon!D18</f>
        <v/>
      </c>
      <c r="E19" s="30">
        <f>IC_Recon!E17-IC_Recon!E18</f>
        <v/>
      </c>
      <c r="F19" s="30">
        <f>IC_Recon!F17-IC_Recon!F18</f>
        <v/>
      </c>
      <c r="G19" s="30">
        <f>IC_Recon!G17-IC_Recon!G18</f>
        <v/>
      </c>
    </row>
    <row r="20">
      <c r="A20" s="13" t="inlineStr">
        <is>
          <t>── 在途调节表（cut-off：互联12月已确认，云次年1月开票）──</t>
        </is>
      </c>
    </row>
    <row r="21">
      <c r="A21" s="5" t="inlineStr">
        <is>
          <t xml:space="preserve">    调节前差异</t>
        </is>
      </c>
      <c r="C21" s="8">
        <f>IC_Recon!C19</f>
        <v/>
      </c>
      <c r="D21" s="8">
        <f>IC_Recon!D19</f>
        <v/>
      </c>
      <c r="E21" s="8">
        <f>IC_Recon!E19</f>
        <v/>
      </c>
      <c r="F21" s="8">
        <f>IC_Recon!F19</f>
        <v/>
      </c>
      <c r="G21" s="8">
        <f>IC_Recon!G19</f>
        <v/>
      </c>
    </row>
    <row r="22">
      <c r="A22" s="5" t="inlineStr">
        <is>
          <t xml:space="preserve">    加：云未开票在途服务</t>
        </is>
      </c>
      <c r="B22" s="2" t="inlineStr">
        <is>
          <t>服务已提供、发票在途</t>
        </is>
      </c>
      <c r="C22" s="8" t="n">
        <v>0</v>
      </c>
      <c r="D22" s="8" t="n">
        <v>0</v>
      </c>
      <c r="E22" s="8" t="n">
        <v>0</v>
      </c>
      <c r="F22" s="8" t="n">
        <v>0</v>
      </c>
      <c r="G22" s="8">
        <f>Assumptions!G54</f>
        <v/>
      </c>
    </row>
    <row r="23">
      <c r="A23" s="26" t="inlineStr">
        <is>
          <t xml:space="preserve">    调节后差异（应全 0）</t>
        </is>
      </c>
      <c r="C23" s="27">
        <f>IC_Recon!C21+IC_Recon!C22</f>
        <v/>
      </c>
      <c r="D23" s="27">
        <f>IC_Recon!D21+IC_Recon!D22</f>
        <v/>
      </c>
      <c r="E23" s="27">
        <f>IC_Recon!E21+IC_Recon!E22</f>
        <v/>
      </c>
      <c r="F23" s="27">
        <f>IC_Recon!F21+IC_Recon!F22</f>
        <v/>
      </c>
      <c r="G23" s="27">
        <f>IC_Recon!G21+IC_Recon!G22</f>
        <v/>
      </c>
    </row>
    <row r="25">
      <c r="A25" s="3" t="inlineStr">
        <is>
          <t xml:space="preserve">    合并抵消口径（双边孰低=调节后应收方）</t>
        </is>
      </c>
      <c r="B25" s="2" t="inlineStr">
        <is>
          <t>Eliminations E2 引用此行</t>
        </is>
      </c>
      <c r="C25" s="23">
        <f>IC_Recon!C17+IC_Recon!C22</f>
        <v/>
      </c>
      <c r="D25" s="23">
        <f>IC_Recon!D17+IC_Recon!D22</f>
        <v/>
      </c>
      <c r="E25" s="23">
        <f>IC_Recon!E17+IC_Recon!E22</f>
        <v/>
      </c>
      <c r="F25" s="23">
        <f>IC_Recon!F17+IC_Recon!F22</f>
        <v/>
      </c>
      <c r="G25" s="23">
        <f>IC_Recon!G17+IC_Recon!G22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合并抵消分录底稿</t>
        </is>
      </c>
    </row>
    <row r="2">
      <c r="A2" s="2" t="inlineStr">
        <is>
          <t>E0 长投×权益 · E1 关联交易 · E2 内部往来 · E3 少数股东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E0 长期股权投资 × 子公司权益（母公司份额）──</t>
        </is>
      </c>
    </row>
    <row r="5">
      <c r="A5" s="5" t="inlineStr">
        <is>
          <t xml:space="preserve">    借：实收资本 · 智擎云</t>
        </is>
      </c>
      <c r="C5" s="8">
        <f>Cloud_BS_CF!C13</f>
        <v/>
      </c>
      <c r="D5" s="8">
        <f>Cloud_BS_CF!D13</f>
        <v/>
      </c>
      <c r="E5" s="8">
        <f>Cloud_BS_CF!E13</f>
        <v/>
      </c>
      <c r="F5" s="8">
        <f>Cloud_BS_CF!F13</f>
        <v/>
      </c>
      <c r="G5" s="8">
        <f>Cloud_BS_CF!G13</f>
        <v/>
      </c>
    </row>
    <row r="6">
      <c r="A6" s="5" t="inlineStr">
        <is>
          <t xml:space="preserve">    借：未分配利润 · 智擎云</t>
        </is>
      </c>
      <c r="C6" s="8">
        <f>Cloud_BS_CF!C14</f>
        <v/>
      </c>
      <c r="D6" s="8">
        <f>Cloud_BS_CF!D14</f>
        <v/>
      </c>
      <c r="E6" s="8">
        <f>Cloud_BS_CF!E14</f>
        <v/>
      </c>
      <c r="F6" s="8">
        <f>Cloud_BS_CF!F14</f>
        <v/>
      </c>
      <c r="G6" s="8">
        <f>Cloud_BS_CF!G14</f>
        <v/>
      </c>
    </row>
    <row r="7">
      <c r="A7" s="5" t="inlineStr">
        <is>
          <t xml:space="preserve">    贷：长投 · 智擎云（成本法）</t>
        </is>
      </c>
      <c r="C7" s="8">
        <f>10000+SUM(Assumptions!$C57:C57)</f>
        <v/>
      </c>
      <c r="D7" s="8">
        <f>10000+SUM(Assumptions!$C57:D57)</f>
        <v/>
      </c>
      <c r="E7" s="8">
        <f>10000+SUM(Assumptions!$C57:E57)</f>
        <v/>
      </c>
      <c r="F7" s="8">
        <f>10000+SUM(Assumptions!$C57:F57)</f>
        <v/>
      </c>
      <c r="G7" s="8">
        <f>10000+SUM(Assumptions!$C57:G57)</f>
        <v/>
      </c>
    </row>
    <row r="8">
      <c r="A8" s="5" t="inlineStr">
        <is>
          <t xml:space="preserve">    借：实收资本 · 智擎行业</t>
        </is>
      </c>
      <c r="C8" s="8">
        <f>Ind_BS_CF!C10</f>
        <v/>
      </c>
      <c r="D8" s="8">
        <f>Ind_BS_CF!D10</f>
        <v/>
      </c>
      <c r="E8" s="8">
        <f>Ind_BS_CF!E10</f>
        <v/>
      </c>
      <c r="F8" s="8">
        <f>Ind_BS_CF!F10</f>
        <v/>
      </c>
      <c r="G8" s="8">
        <f>Ind_BS_CF!G10</f>
        <v/>
      </c>
    </row>
    <row r="9">
      <c r="A9" s="5" t="inlineStr">
        <is>
          <t xml:space="preserve">    借：未分配利润 · 智擎行业</t>
        </is>
      </c>
      <c r="C9" s="8">
        <f>Ind_BS_CF!C11</f>
        <v/>
      </c>
      <c r="D9" s="8">
        <f>Ind_BS_CF!D11</f>
        <v/>
      </c>
      <c r="E9" s="8">
        <f>Ind_BS_CF!E11</f>
        <v/>
      </c>
      <c r="F9" s="8">
        <f>Ind_BS_CF!F11</f>
        <v/>
      </c>
      <c r="G9" s="8">
        <f>Ind_BS_CF!G11</f>
        <v/>
      </c>
    </row>
    <row r="10">
      <c r="A10" s="5" t="inlineStr">
        <is>
          <t xml:space="preserve">    贷：长投 · 智擎行业（成本法）</t>
        </is>
      </c>
      <c r="C10" s="8">
        <f>8000+SUM(Assumptions!$C58:C58)</f>
        <v/>
      </c>
      <c r="D10" s="8">
        <f>8000+SUM(Assumptions!$C58:D58)</f>
        <v/>
      </c>
      <c r="E10" s="8">
        <f>8000+SUM(Assumptions!$C58:E58)</f>
        <v/>
      </c>
      <c r="F10" s="8">
        <f>8000+SUM(Assumptions!$C58:F58)</f>
        <v/>
      </c>
      <c r="G10" s="8">
        <f>8000+SUM(Assumptions!$C58:G58)</f>
        <v/>
      </c>
    </row>
    <row r="11">
      <c r="A11" s="5" t="inlineStr">
        <is>
          <t xml:space="preserve">    借：实收资本 · 智擎互联</t>
        </is>
      </c>
      <c r="C11" s="8">
        <f>Toc_BS_CF!C10*0.8</f>
        <v/>
      </c>
      <c r="D11" s="8">
        <f>Toc_BS_CF!D10*0.8</f>
        <v/>
      </c>
      <c r="E11" s="8">
        <f>Toc_BS_CF!E10*0.8</f>
        <v/>
      </c>
      <c r="F11" s="8">
        <f>Toc_BS_CF!F10*0.8</f>
        <v/>
      </c>
      <c r="G11" s="8">
        <f>Toc_BS_CF!G10*0.8</f>
        <v/>
      </c>
    </row>
    <row r="12">
      <c r="A12" s="5" t="inlineStr">
        <is>
          <t xml:space="preserve">    借：未分配利润 · 智擎互联</t>
        </is>
      </c>
      <c r="C12" s="8">
        <f>Toc_BS_CF!C11*0.8</f>
        <v/>
      </c>
      <c r="D12" s="8">
        <f>Toc_BS_CF!D11*0.8</f>
        <v/>
      </c>
      <c r="E12" s="8">
        <f>Toc_BS_CF!E11*0.8</f>
        <v/>
      </c>
      <c r="F12" s="8">
        <f>Toc_BS_CF!F11*0.8</f>
        <v/>
      </c>
      <c r="G12" s="8">
        <f>Toc_BS_CF!G11*0.8</f>
        <v/>
      </c>
    </row>
    <row r="13">
      <c r="A13" s="5" t="inlineStr">
        <is>
          <t xml:space="preserve">    贷：长投 · 智擎互联（成本法）</t>
        </is>
      </c>
      <c r="C13" s="8">
        <f>5000+SUM(Assumptions!$C59:C59)*0.8</f>
        <v/>
      </c>
      <c r="D13" s="8">
        <f>5000+SUM(Assumptions!$C59:D59)*0.8</f>
        <v/>
      </c>
      <c r="E13" s="8">
        <f>5000+SUM(Assumptions!$C59:E59)*0.8</f>
        <v/>
      </c>
      <c r="F13" s="8">
        <f>5000+SUM(Assumptions!$C59:F59)*0.8</f>
        <v/>
      </c>
      <c r="G13" s="8">
        <f>5000+SUM(Assumptions!$C59:G59)*0.8</f>
        <v/>
      </c>
    </row>
    <row r="14">
      <c r="A14" s="3" t="inlineStr">
        <is>
          <t xml:space="preserve">    E0 差额 → 合并资本公积（Σ借−Σ贷）</t>
        </is>
      </c>
      <c r="C14" s="23">
        <f>Eliminations!C5+Eliminations!C6-Eliminations!C7+Eliminations!C8+Eliminations!C9-Eliminations!C10+Eliminations!C11+Eliminations!C12-Eliminations!C13</f>
        <v/>
      </c>
      <c r="D14" s="23">
        <f>Eliminations!D5+Eliminations!D6-Eliminations!D7+Eliminations!D8+Eliminations!D9-Eliminations!D10+Eliminations!D11+Eliminations!D12-Eliminations!D13</f>
        <v/>
      </c>
      <c r="E14" s="23">
        <f>Eliminations!E5+Eliminations!E6-Eliminations!E7+Eliminations!E8+Eliminations!E9-Eliminations!E10+Eliminations!E11+Eliminations!E12-Eliminations!E13</f>
        <v/>
      </c>
      <c r="F14" s="23">
        <f>Eliminations!F5+Eliminations!F6-Eliminations!F7+Eliminations!F8+Eliminations!F9-Eliminations!F10+Eliminations!F11+Eliminations!F12-Eliminations!F13</f>
        <v/>
      </c>
      <c r="G14" s="23">
        <f>Eliminations!G5+Eliminations!G6-Eliminations!G7+Eliminations!G8+Eliminations!G9-Eliminations!G10+Eliminations!G11+Eliminations!G12-Eliminations!G13</f>
        <v/>
      </c>
    </row>
    <row r="15">
      <c r="A15" s="13" t="inlineStr">
        <is>
          <t>── E1 关联收入 × 关联成本对冲 ──</t>
        </is>
      </c>
    </row>
    <row r="16">
      <c r="A16" s="3" t="inlineStr">
        <is>
          <t xml:space="preserve">    借：关联收入 / 贷：关联成本（全额）</t>
        </is>
      </c>
      <c r="C16" s="23">
        <f>IC_Register!C10</f>
        <v/>
      </c>
      <c r="D16" s="23">
        <f>IC_Register!D10</f>
        <v/>
      </c>
      <c r="E16" s="23">
        <f>IC_Register!E10</f>
        <v/>
      </c>
      <c r="F16" s="23">
        <f>IC_Register!F10</f>
        <v/>
      </c>
      <c r="G16" s="23">
        <f>IC_Register!G10</f>
        <v/>
      </c>
    </row>
    <row r="17">
      <c r="A17" s="13" t="inlineStr">
        <is>
          <t>── E2 内部往来对冲（双边孰低=调节后）──</t>
        </is>
      </c>
    </row>
    <row r="18">
      <c r="A18" s="5" t="inlineStr">
        <is>
          <t xml:space="preserve">    借：内部应付合计</t>
        </is>
      </c>
      <c r="C18" s="8">
        <f>IC_Register!C18</f>
        <v/>
      </c>
      <c r="D18" s="8">
        <f>IC_Register!D18</f>
        <v/>
      </c>
      <c r="E18" s="8">
        <f>IC_Register!E18</f>
        <v/>
      </c>
      <c r="F18" s="8">
        <f>IC_Register!F18</f>
        <v/>
      </c>
      <c r="G18" s="8">
        <f>IC_Register!G18</f>
        <v/>
      </c>
    </row>
    <row r="19">
      <c r="A19" s="5" t="inlineStr">
        <is>
          <t xml:space="preserve">    贷：内部应收合计（孰低=ΣAR）</t>
        </is>
      </c>
      <c r="C19" s="8">
        <f>IC_Register!C17</f>
        <v/>
      </c>
      <c r="D19" s="8">
        <f>IC_Register!D17</f>
        <v/>
      </c>
      <c r="E19" s="8">
        <f>IC_Register!E17</f>
        <v/>
      </c>
      <c r="F19" s="8">
        <f>IC_Register!F17</f>
        <v/>
      </c>
      <c r="G19" s="8">
        <f>IC_Register!G17</f>
        <v/>
      </c>
    </row>
    <row r="20">
      <c r="A20" s="3" t="inlineStr">
        <is>
          <t xml:space="preserve">    差额 → 其他应付款·内部在途（=ΣAP−ΣAR）</t>
        </is>
      </c>
      <c r="B20" s="2" t="inlineStr">
        <is>
          <t>cut-off 在途挂账</t>
        </is>
      </c>
      <c r="C20" s="23">
        <f>Eliminations!C18-Eliminations!C19</f>
        <v/>
      </c>
      <c r="D20" s="23">
        <f>Eliminations!D18-Eliminations!D19</f>
        <v/>
      </c>
      <c r="E20" s="23">
        <f>Eliminations!E18-Eliminations!E19</f>
        <v/>
      </c>
      <c r="F20" s="23">
        <f>Eliminations!F18-Eliminations!F19</f>
        <v/>
      </c>
      <c r="G20" s="23">
        <f>Eliminations!G18-Eliminations!G19</f>
        <v/>
      </c>
    </row>
    <row r="21">
      <c r="A21" s="13" t="inlineStr">
        <is>
          <t>── E3 少数股东（利润拆分，非借贷）──</t>
        </is>
      </c>
    </row>
    <row r="22">
      <c r="A22" s="5" t="inlineStr">
        <is>
          <t xml:space="preserve">    少数股东损益 = 互联 NI × 20%</t>
        </is>
      </c>
      <c r="C22" s="8">
        <f>Toc_IS!C17*0.2</f>
        <v/>
      </c>
      <c r="D22" s="8">
        <f>Toc_IS!D17*0.2</f>
        <v/>
      </c>
      <c r="E22" s="8">
        <f>Toc_IS!E17*0.2</f>
        <v/>
      </c>
      <c r="F22" s="8">
        <f>Toc_IS!F17*0.2</f>
        <v/>
      </c>
      <c r="G22" s="8">
        <f>Toc_IS!G17*0.2</f>
        <v/>
      </c>
    </row>
    <row r="23">
      <c r="A23" s="5" t="inlineStr">
        <is>
          <t xml:space="preserve">    少数股东权益 = 互联净资产 × 20%</t>
        </is>
      </c>
      <c r="C23" s="8">
        <f>(Toc_BS_CF!C10+Toc_BS_CF!C11)*0.2</f>
        <v/>
      </c>
      <c r="D23" s="8">
        <f>(Toc_BS_CF!D10+Toc_BS_CF!D11)*0.2</f>
        <v/>
      </c>
      <c r="E23" s="8">
        <f>(Toc_BS_CF!E10+Toc_BS_CF!E11)*0.2</f>
        <v/>
      </c>
      <c r="F23" s="8">
        <f>(Toc_BS_CF!F10+Toc_BS_CF!F11)*0.2</f>
        <v/>
      </c>
      <c r="G23" s="8">
        <f>(Toc_BS_CF!G10+Toc_BS_CF!G11)*0.2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0B05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合并利润表</t>
        </is>
      </c>
    </row>
    <row r="2">
      <c r="A2" s="2" t="inlineStr">
        <is>
          <t>Σ四主体 − E1 关联对冲 − E3 归属拆分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3" t="inlineStr">
        <is>
          <t xml:space="preserve">    对外收入合计（云+行业+互联）</t>
        </is>
      </c>
      <c r="C4" s="23">
        <f>Cloud_IS!C4+Ind_IS!C6+Toc_IS!C6</f>
        <v/>
      </c>
      <c r="D4" s="23">
        <f>Cloud_IS!D4+Ind_IS!D6+Toc_IS!D6</f>
        <v/>
      </c>
      <c r="E4" s="23">
        <f>Cloud_IS!E4+Ind_IS!E6+Toc_IS!E6</f>
        <v/>
      </c>
      <c r="F4" s="23">
        <f>Cloud_IS!F4+Ind_IS!F6+Toc_IS!F6</f>
        <v/>
      </c>
      <c r="G4" s="23">
        <f>Cloud_IS!G4+Ind_IS!G6+Toc_IS!G6</f>
        <v/>
      </c>
    </row>
    <row r="5">
      <c r="A5" s="5" t="inlineStr">
        <is>
          <t xml:space="preserve">    减：关联收入抵消（E1）</t>
        </is>
      </c>
      <c r="B5" s="2" t="inlineStr">
        <is>
          <t>T1+T2+T3 全消</t>
        </is>
      </c>
      <c r="C5" s="8">
        <f>-Eliminations!C16</f>
        <v/>
      </c>
      <c r="D5" s="8">
        <f>-Eliminations!D16</f>
        <v/>
      </c>
      <c r="E5" s="8">
        <f>-Eliminations!E16</f>
        <v/>
      </c>
      <c r="F5" s="8">
        <f>-Eliminations!F16</f>
        <v/>
      </c>
      <c r="G5" s="8">
        <f>-Eliminations!G16</f>
        <v/>
      </c>
    </row>
    <row r="6">
      <c r="A6" s="3" t="inlineStr">
        <is>
          <t xml:space="preserve">    合并营业收入</t>
        </is>
      </c>
      <c r="C6" s="23">
        <f>Consol_IS!C4</f>
        <v/>
      </c>
      <c r="D6" s="23">
        <f>Consol_IS!D4</f>
        <v/>
      </c>
      <c r="E6" s="23">
        <f>Consol_IS!E4</f>
        <v/>
      </c>
      <c r="F6" s="23">
        <f>Consol_IS!F4</f>
        <v/>
      </c>
      <c r="G6" s="23">
        <f>Consol_IS!G4</f>
        <v/>
      </c>
    </row>
    <row r="7">
      <c r="A7" s="5" t="inlineStr">
        <is>
          <t xml:space="preserve">    Σ四主体营业成本</t>
        </is>
      </c>
      <c r="C7" s="8">
        <f>HoldCo_IS!C7+Cloud_IS!C11+Ind_IS!C11+Toc_IS!C9</f>
        <v/>
      </c>
      <c r="D7" s="8">
        <f>HoldCo_IS!D7+Cloud_IS!D11+Ind_IS!D11+Toc_IS!D9</f>
        <v/>
      </c>
      <c r="E7" s="8">
        <f>HoldCo_IS!E7+Cloud_IS!E11+Ind_IS!E11+Toc_IS!E9</f>
        <v/>
      </c>
      <c r="F7" s="8">
        <f>HoldCo_IS!F7+Cloud_IS!F11+Ind_IS!F11+Toc_IS!F9</f>
        <v/>
      </c>
      <c r="G7" s="8">
        <f>HoldCo_IS!G7+Cloud_IS!G11+Ind_IS!G11+Toc_IS!G9</f>
        <v/>
      </c>
    </row>
    <row r="8">
      <c r="A8" s="5" t="inlineStr">
        <is>
          <t xml:space="preserve">    减：关联成本对冲（E1）</t>
        </is>
      </c>
      <c r="B8" s="2" t="inlineStr">
        <is>
          <t>含保留云真实服务成本，净效应=−0.45×T3</t>
        </is>
      </c>
      <c r="C8" s="8">
        <f>-Eliminations!C16</f>
        <v/>
      </c>
      <c r="D8" s="8">
        <f>-Eliminations!D16</f>
        <v/>
      </c>
      <c r="E8" s="8">
        <f>-Eliminations!E16</f>
        <v/>
      </c>
      <c r="F8" s="8">
        <f>-Eliminations!F16</f>
        <v/>
      </c>
      <c r="G8" s="8">
        <f>-Eliminations!G16</f>
        <v/>
      </c>
    </row>
    <row r="9">
      <c r="A9" s="3" t="inlineStr">
        <is>
          <t xml:space="preserve">    合并营业成本</t>
        </is>
      </c>
      <c r="C9" s="23">
        <f>Consol_IS!C7+Consol_IS!C8</f>
        <v/>
      </c>
      <c r="D9" s="23">
        <f>Consol_IS!D7+Consol_IS!D8</f>
        <v/>
      </c>
      <c r="E9" s="23">
        <f>Consol_IS!E7+Consol_IS!E8</f>
        <v/>
      </c>
      <c r="F9" s="23">
        <f>Consol_IS!F7+Consol_IS!F8</f>
        <v/>
      </c>
      <c r="G9" s="23">
        <f>Consol_IS!G7+Consol_IS!G8</f>
        <v/>
      </c>
    </row>
    <row r="10">
      <c r="A10" s="3" t="inlineStr">
        <is>
          <t xml:space="preserve">    合并毛利润</t>
        </is>
      </c>
      <c r="C10" s="23">
        <f>Consol_IS!C6-Consol_IS!C9</f>
        <v/>
      </c>
      <c r="D10" s="23">
        <f>Consol_IS!D6-Consol_IS!D9</f>
        <v/>
      </c>
      <c r="E10" s="23">
        <f>Consol_IS!E6-Consol_IS!E9</f>
        <v/>
      </c>
      <c r="F10" s="23">
        <f>Consol_IS!F6-Consol_IS!F9</f>
        <v/>
      </c>
      <c r="G10" s="23">
        <f>Consol_IS!G6-Consol_IS!G9</f>
        <v/>
      </c>
    </row>
    <row r="11">
      <c r="A11" s="5" t="inlineStr">
        <is>
          <t xml:space="preserve">    研发费用</t>
        </is>
      </c>
      <c r="C11" s="8">
        <f>Cloud_IS!C13+Ind_IS!C13+Toc_IS!C11+HoldCo_IS!C9</f>
        <v/>
      </c>
      <c r="D11" s="8">
        <f>Cloud_IS!D13+Ind_IS!D13+Toc_IS!D11+HoldCo_IS!D9</f>
        <v/>
      </c>
      <c r="E11" s="8">
        <f>Cloud_IS!E13+Ind_IS!E13+Toc_IS!E11+HoldCo_IS!E9</f>
        <v/>
      </c>
      <c r="F11" s="8">
        <f>Cloud_IS!F13+Ind_IS!F13+Toc_IS!F11+HoldCo_IS!F9</f>
        <v/>
      </c>
      <c r="G11" s="8">
        <f>Cloud_IS!G13+Ind_IS!G13+Toc_IS!G11+HoldCo_IS!G9</f>
        <v/>
      </c>
    </row>
    <row r="12">
      <c r="A12" s="5" t="inlineStr">
        <is>
          <t xml:space="preserve">    销售费用</t>
        </is>
      </c>
      <c r="C12" s="8">
        <f>Cloud_IS!C14+Ind_IS!C14+Toc_IS!C13+HoldCo_IS!C10</f>
        <v/>
      </c>
      <c r="D12" s="8">
        <f>Cloud_IS!D14+Ind_IS!D14+Toc_IS!D13+HoldCo_IS!D10</f>
        <v/>
      </c>
      <c r="E12" s="8">
        <f>Cloud_IS!E14+Ind_IS!E14+Toc_IS!E13+HoldCo_IS!E10</f>
        <v/>
      </c>
      <c r="F12" s="8">
        <f>Cloud_IS!F14+Ind_IS!F14+Toc_IS!F13+HoldCo_IS!F10</f>
        <v/>
      </c>
      <c r="G12" s="8">
        <f>Cloud_IS!G14+Ind_IS!G14+Toc_IS!G13+HoldCo_IS!G10</f>
        <v/>
      </c>
    </row>
    <row r="13">
      <c r="A13" s="5" t="inlineStr">
        <is>
          <t xml:space="preserve">    管理费用</t>
        </is>
      </c>
      <c r="C13" s="8">
        <f>Cloud_IS!C15+Ind_IS!C15+Toc_IS!C14+HoldCo_IS!C11</f>
        <v/>
      </c>
      <c r="D13" s="8">
        <f>Cloud_IS!D15+Ind_IS!D15+Toc_IS!D14+HoldCo_IS!D11</f>
        <v/>
      </c>
      <c r="E13" s="8">
        <f>Cloud_IS!E15+Ind_IS!E15+Toc_IS!E14+HoldCo_IS!E11</f>
        <v/>
      </c>
      <c r="F13" s="8">
        <f>Cloud_IS!F15+Ind_IS!F15+Toc_IS!F14+HoldCo_IS!F11</f>
        <v/>
      </c>
      <c r="G13" s="8">
        <f>Cloud_IS!G15+Ind_IS!G15+Toc_IS!G14+HoldCo_IS!G11</f>
        <v/>
      </c>
    </row>
    <row r="14">
      <c r="A14" s="3" t="inlineStr">
        <is>
          <t xml:space="preserve">    合并 EBIT</t>
        </is>
      </c>
      <c r="C14" s="23">
        <f>Consol_IS!C10-Consol_IS!C11-Consol_IS!C12-Consol_IS!C13</f>
        <v/>
      </c>
      <c r="D14" s="23">
        <f>Consol_IS!D10-Consol_IS!D11-Consol_IS!D12-Consol_IS!D13</f>
        <v/>
      </c>
      <c r="E14" s="23">
        <f>Consol_IS!E10-Consol_IS!E11-Consol_IS!E12-Consol_IS!E13</f>
        <v/>
      </c>
      <c r="F14" s="23">
        <f>Consol_IS!F10-Consol_IS!F11-Consol_IS!F12-Consol_IS!F13</f>
        <v/>
      </c>
      <c r="G14" s="23">
        <f>Consol_IS!G10-Consol_IS!G11-Consol_IS!G12-Consol_IS!G13</f>
        <v/>
      </c>
    </row>
    <row r="15">
      <c r="A15" s="5" t="inlineStr">
        <is>
          <t xml:space="preserve">    所得税（Σ）</t>
        </is>
      </c>
      <c r="C15" s="8">
        <f>Cloud_IS!C17+Ind_IS!C17+Toc_IS!C16+HoldCo_IS!C13</f>
        <v/>
      </c>
      <c r="D15" s="8">
        <f>Cloud_IS!D17+Ind_IS!D17+Toc_IS!D16+HoldCo_IS!D13</f>
        <v/>
      </c>
      <c r="E15" s="8">
        <f>Cloud_IS!E17+Ind_IS!E17+Toc_IS!E16+HoldCo_IS!E13</f>
        <v/>
      </c>
      <c r="F15" s="8">
        <f>Cloud_IS!F17+Ind_IS!F17+Toc_IS!F16+HoldCo_IS!F13</f>
        <v/>
      </c>
      <c r="G15" s="8">
        <f>Cloud_IS!G17+Ind_IS!G17+Toc_IS!G16+HoldCo_IS!G13</f>
        <v/>
      </c>
    </row>
    <row r="16">
      <c r="A16" s="3" t="inlineStr">
        <is>
          <t xml:space="preserve">    合并净利润</t>
        </is>
      </c>
      <c r="C16" s="23">
        <f>Consol_IS!C14-Consol_IS!C15</f>
        <v/>
      </c>
      <c r="D16" s="23">
        <f>Consol_IS!D14-Consol_IS!D15</f>
        <v/>
      </c>
      <c r="E16" s="23">
        <f>Consol_IS!E14-Consol_IS!E15</f>
        <v/>
      </c>
      <c r="F16" s="23">
        <f>Consol_IS!F14-Consol_IS!F15</f>
        <v/>
      </c>
      <c r="G16" s="23">
        <f>Consol_IS!G14-Consol_IS!G15</f>
        <v/>
      </c>
    </row>
    <row r="17">
      <c r="A17" s="5" t="inlineStr">
        <is>
          <t xml:space="preserve">    少数股东损益（E3）</t>
        </is>
      </c>
      <c r="C17" s="8">
        <f>Eliminations!C22</f>
        <v/>
      </c>
      <c r="D17" s="8">
        <f>Eliminations!D22</f>
        <v/>
      </c>
      <c r="E17" s="8">
        <f>Eliminations!E22</f>
        <v/>
      </c>
      <c r="F17" s="8">
        <f>Eliminations!F22</f>
        <v/>
      </c>
      <c r="G17" s="8">
        <f>Eliminations!G22</f>
        <v/>
      </c>
    </row>
    <row r="18">
      <c r="A18" s="26" t="inlineStr">
        <is>
          <t xml:space="preserve">    归属于母公司净利润</t>
        </is>
      </c>
      <c r="C18" s="27">
        <f>Consol_IS!C16-Consol_IS!C17</f>
        <v/>
      </c>
      <c r="D18" s="27">
        <f>Consol_IS!D16-Consol_IS!D17</f>
        <v/>
      </c>
      <c r="E18" s="27">
        <f>Consol_IS!E16-Consol_IS!E17</f>
        <v/>
      </c>
      <c r="F18" s="27">
        <f>Consol_IS!F16-Consol_IS!F17</f>
        <v/>
      </c>
      <c r="G18" s="27">
        <f>Consol_IS!G16-Consol_IS!G17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合并资产负债表</t>
        </is>
      </c>
    </row>
    <row r="2">
      <c r="A2" s="2" t="inlineStr">
        <is>
          <t>Σ四主体 − E0 − E2 + 少数股东权益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货币资金</t>
        </is>
      </c>
      <c r="C4" s="8">
        <f>HoldCo_BS!C18+Cloud_BS_CF!C15+Ind_BS_CF!C12+Toc_BS_CF!C12</f>
        <v/>
      </c>
      <c r="D4" s="8">
        <f>HoldCo_BS!D18+Cloud_BS_CF!D15+Ind_BS_CF!D12+Toc_BS_CF!D12</f>
        <v/>
      </c>
      <c r="E4" s="8">
        <f>HoldCo_BS!E18+Cloud_BS_CF!E15+Ind_BS_CF!E12+Toc_BS_CF!E12</f>
        <v/>
      </c>
      <c r="F4" s="8">
        <f>HoldCo_BS!F18+Cloud_BS_CF!F15+Ind_BS_CF!F12+Toc_BS_CF!F12</f>
        <v/>
      </c>
      <c r="G4" s="8">
        <f>HoldCo_BS!G18+Cloud_BS_CF!G15+Ind_BS_CF!G12+Toc_BS_CF!G12</f>
        <v/>
      </c>
    </row>
    <row r="5">
      <c r="A5" s="5" t="inlineStr">
        <is>
          <t xml:space="preserve">    应收账款</t>
        </is>
      </c>
      <c r="C5" s="8">
        <f>HoldCo_BS!C4+Cloud_BS_CF!C5+Ind_BS_CF!C5+Toc_BS_CF!C5</f>
        <v/>
      </c>
      <c r="D5" s="8">
        <f>HoldCo_BS!D4+Cloud_BS_CF!D5+Ind_BS_CF!D5+Toc_BS_CF!D5</f>
        <v/>
      </c>
      <c r="E5" s="8">
        <f>HoldCo_BS!E4+Cloud_BS_CF!E5+Ind_BS_CF!E5+Toc_BS_CF!E5</f>
        <v/>
      </c>
      <c r="F5" s="8">
        <f>HoldCo_BS!F4+Cloud_BS_CF!F5+Ind_BS_CF!F5+Toc_BS_CF!F5</f>
        <v/>
      </c>
      <c r="G5" s="8">
        <f>HoldCo_BS!G4+Cloud_BS_CF!G5+Ind_BS_CF!G5+Toc_BS_CF!G5</f>
        <v/>
      </c>
    </row>
    <row r="6">
      <c r="A6" s="5" t="inlineStr">
        <is>
          <t xml:space="preserve">    固定资产 · GPU 净值</t>
        </is>
      </c>
      <c r="C6" s="8">
        <f>HoldCo_BS!C6+Cloud_BS_CF!C7</f>
        <v/>
      </c>
      <c r="D6" s="8">
        <f>HoldCo_BS!D6+Cloud_BS_CF!D7</f>
        <v/>
      </c>
      <c r="E6" s="8">
        <f>HoldCo_BS!E6+Cloud_BS_CF!E7</f>
        <v/>
      </c>
      <c r="F6" s="8">
        <f>HoldCo_BS!F6+Cloud_BS_CF!F7</f>
        <v/>
      </c>
      <c r="G6" s="8">
        <f>HoldCo_BS!G6+Cloud_BS_CF!G7</f>
        <v/>
      </c>
    </row>
    <row r="7">
      <c r="A7" s="5" t="inlineStr">
        <is>
          <t xml:space="preserve">    内部应收（抵消后 0）</t>
        </is>
      </c>
      <c r="C7" s="8">
        <f>HoldCo_BS!C5+Cloud_BS_CF!C6-Eliminations!C19</f>
        <v/>
      </c>
      <c r="D7" s="8">
        <f>HoldCo_BS!D5+Cloud_BS_CF!D6-Eliminations!D19</f>
        <v/>
      </c>
      <c r="E7" s="8">
        <f>HoldCo_BS!E5+Cloud_BS_CF!E6-Eliminations!E19</f>
        <v/>
      </c>
      <c r="F7" s="8">
        <f>HoldCo_BS!F5+Cloud_BS_CF!F6-Eliminations!F19</f>
        <v/>
      </c>
      <c r="G7" s="8">
        <f>HoldCo_BS!G5+Cloud_BS_CF!G6-Eliminations!G19</f>
        <v/>
      </c>
    </row>
    <row r="8">
      <c r="A8" s="5" t="inlineStr">
        <is>
          <t xml:space="preserve">    长期股权投资（抵消后 0）</t>
        </is>
      </c>
      <c r="C8" s="8">
        <f>HoldCo_BS!C7-Eliminations!C7-Eliminations!C10-Eliminations!C13</f>
        <v/>
      </c>
      <c r="D8" s="8">
        <f>HoldCo_BS!D7-Eliminations!D7-Eliminations!D10-Eliminations!D13</f>
        <v/>
      </c>
      <c r="E8" s="8">
        <f>HoldCo_BS!E7-Eliminations!E7-Eliminations!E10-Eliminations!E13</f>
        <v/>
      </c>
      <c r="F8" s="8">
        <f>HoldCo_BS!F7-Eliminations!F7-Eliminations!F10-Eliminations!F13</f>
        <v/>
      </c>
      <c r="G8" s="8">
        <f>HoldCo_BS!G7-Eliminations!G7-Eliminations!G10-Eliminations!G13</f>
        <v/>
      </c>
    </row>
    <row r="9">
      <c r="A9" s="3" t="inlineStr">
        <is>
          <t>资产总计</t>
        </is>
      </c>
      <c r="C9" s="23">
        <f>Consol_BS!C4+Consol_BS!C5+Consol_BS!C6</f>
        <v/>
      </c>
      <c r="D9" s="23">
        <f>Consol_BS!D4+Consol_BS!D5+Consol_BS!D6</f>
        <v/>
      </c>
      <c r="E9" s="23">
        <f>Consol_BS!E4+Consol_BS!E5+Consol_BS!E6</f>
        <v/>
      </c>
      <c r="F9" s="23">
        <f>Consol_BS!F4+Consol_BS!F5+Consol_BS!F6</f>
        <v/>
      </c>
      <c r="G9" s="23">
        <f>Consol_BS!G4+Consol_BS!G5+Consol_BS!G6</f>
        <v/>
      </c>
    </row>
    <row r="11">
      <c r="A11" s="5" t="inlineStr">
        <is>
          <t xml:space="preserve">    应付账款</t>
        </is>
      </c>
      <c r="C11" s="8">
        <f>HoldCo_BS!C10+Cloud_BS_CF!C9+Ind_BS_CF!C7+Toc_BS_CF!C7</f>
        <v/>
      </c>
      <c r="D11" s="8">
        <f>HoldCo_BS!D10+Cloud_BS_CF!D9+Ind_BS_CF!D7+Toc_BS_CF!D7</f>
        <v/>
      </c>
      <c r="E11" s="8">
        <f>HoldCo_BS!E10+Cloud_BS_CF!E9+Ind_BS_CF!E7+Toc_BS_CF!E7</f>
        <v/>
      </c>
      <c r="F11" s="8">
        <f>HoldCo_BS!F10+Cloud_BS_CF!F9+Ind_BS_CF!F7+Toc_BS_CF!F7</f>
        <v/>
      </c>
      <c r="G11" s="8">
        <f>HoldCo_BS!G10+Cloud_BS_CF!G9+Ind_BS_CF!G7+Toc_BS_CF!G7</f>
        <v/>
      </c>
    </row>
    <row r="12">
      <c r="A12" s="5" t="inlineStr">
        <is>
          <t xml:space="preserve">    递延收益</t>
        </is>
      </c>
      <c r="C12" s="8">
        <f>HoldCo_BS!C12+Cloud_BS_CF!C11+Ind_BS_CF!C8+Toc_BS_CF!C8</f>
        <v/>
      </c>
      <c r="D12" s="8">
        <f>HoldCo_BS!D12+Cloud_BS_CF!D11+Ind_BS_CF!D8+Toc_BS_CF!D8</f>
        <v/>
      </c>
      <c r="E12" s="8">
        <f>HoldCo_BS!E12+Cloud_BS_CF!E11+Ind_BS_CF!E8+Toc_BS_CF!E8</f>
        <v/>
      </c>
      <c r="F12" s="8">
        <f>HoldCo_BS!F12+Cloud_BS_CF!F11+Ind_BS_CF!F8+Toc_BS_CF!F8</f>
        <v/>
      </c>
      <c r="G12" s="8">
        <f>HoldCo_BS!G12+Cloud_BS_CF!G11+Ind_BS_CF!G8+Toc_BS_CF!G8</f>
        <v/>
      </c>
    </row>
    <row r="13">
      <c r="A13" s="5" t="inlineStr">
        <is>
          <t xml:space="preserve">    内部应付（抵消后=在途差额）</t>
        </is>
      </c>
      <c r="B13" s="2" t="inlineStr">
        <is>
          <t>按双边孰低抵消，剩余挂 other_pay</t>
        </is>
      </c>
      <c r="C13" s="8">
        <f>HoldCo_BS!C11+Cloud_BS_CF!C10+Ind_BS_CF!C6+Toc_BS_CF!C6-Eliminations!C19</f>
        <v/>
      </c>
      <c r="D13" s="8">
        <f>HoldCo_BS!D11+Cloud_BS_CF!D10+Ind_BS_CF!D6+Toc_BS_CF!D6-Eliminations!D19</f>
        <v/>
      </c>
      <c r="E13" s="8">
        <f>HoldCo_BS!E11+Cloud_BS_CF!E10+Ind_BS_CF!E6+Toc_BS_CF!E6-Eliminations!E19</f>
        <v/>
      </c>
      <c r="F13" s="8">
        <f>HoldCo_BS!F11+Cloud_BS_CF!F10+Ind_BS_CF!F6+Toc_BS_CF!F6-Eliminations!F19</f>
        <v/>
      </c>
      <c r="G13" s="8">
        <f>HoldCo_BS!G11+Cloud_BS_CF!G10+Ind_BS_CF!G6+Toc_BS_CF!G6-Eliminations!G19</f>
        <v/>
      </c>
    </row>
    <row r="14">
      <c r="A14" s="5" t="inlineStr">
        <is>
          <t xml:space="preserve">    其他应付款 · 内部在途</t>
        </is>
      </c>
      <c r="C14" s="8">
        <f>Eliminations!C20</f>
        <v/>
      </c>
      <c r="D14" s="8">
        <f>Eliminations!D20</f>
        <v/>
      </c>
      <c r="E14" s="8">
        <f>Eliminations!E20</f>
        <v/>
      </c>
      <c r="F14" s="8">
        <f>Eliminations!F20</f>
        <v/>
      </c>
      <c r="G14" s="8">
        <f>Eliminations!G20</f>
        <v/>
      </c>
    </row>
    <row r="15">
      <c r="A15" s="3" t="inlineStr">
        <is>
          <t>负债合计</t>
        </is>
      </c>
      <c r="C15" s="23">
        <f>Consol_BS!C11+Consol_BS!C12+Consol_BS!C14</f>
        <v/>
      </c>
      <c r="D15" s="23">
        <f>Consol_BS!D11+Consol_BS!D12+Consol_BS!D14</f>
        <v/>
      </c>
      <c r="E15" s="23">
        <f>Consol_BS!E11+Consol_BS!E12+Consol_BS!E14</f>
        <v/>
      </c>
      <c r="F15" s="23">
        <f>Consol_BS!F11+Consol_BS!F12+Consol_BS!F14</f>
        <v/>
      </c>
      <c r="G15" s="23">
        <f>Consol_BS!G11+Consol_BS!G12+Consol_BS!G14</f>
        <v/>
      </c>
    </row>
    <row r="16">
      <c r="A16" s="5" t="inlineStr">
        <is>
          <t xml:space="preserve">    实收资本（研究院口径）</t>
        </is>
      </c>
      <c r="B16" s="2" t="inlineStr">
        <is>
          <t>子公司全抵</t>
        </is>
      </c>
      <c r="C16" s="8">
        <f>HoldCo_BS!C14</f>
        <v/>
      </c>
      <c r="D16" s="8">
        <f>HoldCo_BS!D14</f>
        <v/>
      </c>
      <c r="E16" s="8">
        <f>HoldCo_BS!E14</f>
        <v/>
      </c>
      <c r="F16" s="8">
        <f>HoldCo_BS!F14</f>
        <v/>
      </c>
      <c r="G16" s="8">
        <f>HoldCo_BS!G14</f>
        <v/>
      </c>
    </row>
    <row r="17">
      <c r="A17" s="5" t="inlineStr">
        <is>
          <t xml:space="preserve">    合并调整 · 资本公积（E0 差额）</t>
        </is>
      </c>
      <c r="C17" s="8">
        <f>Eliminations!C14</f>
        <v/>
      </c>
      <c r="D17" s="8">
        <f>Eliminations!D14</f>
        <v/>
      </c>
      <c r="E17" s="8">
        <f>Eliminations!E14</f>
        <v/>
      </c>
      <c r="F17" s="8">
        <f>Eliminations!F14</f>
        <v/>
      </c>
      <c r="G17" s="8">
        <f>Eliminations!G14</f>
        <v/>
      </c>
    </row>
    <row r="18">
      <c r="A18" s="5" t="inlineStr">
        <is>
          <t xml:space="preserve">    未分配利润（研究院口径）</t>
        </is>
      </c>
      <c r="C18" s="8">
        <f>HoldCo_BS!C15</f>
        <v/>
      </c>
      <c r="D18" s="8">
        <f>HoldCo_BS!D15</f>
        <v/>
      </c>
      <c r="E18" s="8">
        <f>HoldCo_BS!E15</f>
        <v/>
      </c>
      <c r="F18" s="8">
        <f>HoldCo_BS!F15</f>
        <v/>
      </c>
      <c r="G18" s="8">
        <f>HoldCo_BS!G15</f>
        <v/>
      </c>
    </row>
    <row r="19">
      <c r="A19" s="5" t="inlineStr">
        <is>
          <t xml:space="preserve">    少数股东权益（E3）</t>
        </is>
      </c>
      <c r="C19" s="8">
        <f>Eliminations!C23</f>
        <v/>
      </c>
      <c r="D19" s="8">
        <f>Eliminations!D23</f>
        <v/>
      </c>
      <c r="E19" s="8">
        <f>Eliminations!E23</f>
        <v/>
      </c>
      <c r="F19" s="8">
        <f>Eliminations!F23</f>
        <v/>
      </c>
      <c r="G19" s="8">
        <f>Eliminations!G23</f>
        <v/>
      </c>
    </row>
    <row r="20">
      <c r="A20" s="3" t="inlineStr">
        <is>
          <t>合并所有者权益合计</t>
        </is>
      </c>
      <c r="C20" s="23">
        <f>Consol_BS!C16+Consol_BS!C17+Consol_BS!C18+Consol_BS!C19</f>
        <v/>
      </c>
      <c r="D20" s="23">
        <f>Consol_BS!D16+Consol_BS!D17+Consol_BS!D18+Consol_BS!D19</f>
        <v/>
      </c>
      <c r="E20" s="23">
        <f>Consol_BS!E16+Consol_BS!E17+Consol_BS!E18+Consol_BS!E19</f>
        <v/>
      </c>
      <c r="F20" s="23">
        <f>Consol_BS!F16+Consol_BS!F17+Consol_BS!F18+Consol_BS!F19</f>
        <v/>
      </c>
      <c r="G20" s="23">
        <f>Consol_BS!G16+Consol_BS!G17+Consol_BS!G18+Consol_BS!G19</f>
        <v/>
      </c>
    </row>
    <row r="21">
      <c r="A21" s="3" t="inlineStr">
        <is>
          <t>负债+权益合计</t>
        </is>
      </c>
      <c r="C21" s="23">
        <f>Consol_BS!C15+Consol_BS!C20</f>
        <v/>
      </c>
      <c r="D21" s="23">
        <f>Consol_BS!D15+Consol_BS!D20</f>
        <v/>
      </c>
      <c r="E21" s="23">
        <f>Consol_BS!E15+Consol_BS!E20</f>
        <v/>
      </c>
      <c r="F21" s="23">
        <f>Consol_BS!F15+Consol_BS!F20</f>
        <v/>
      </c>
      <c r="G21" s="23">
        <f>Consol_BS!G15+Consol_BS!G20</f>
        <v/>
      </c>
    </row>
    <row r="22">
      <c r="A22" s="3" t="inlineStr">
        <is>
          <t>★ 合并 BS 平衡差（应全 0）</t>
        </is>
      </c>
      <c r="C22" s="24" t="n"/>
      <c r="D22" s="24" t="n"/>
      <c r="E22" s="24" t="n"/>
      <c r="F22" s="24" t="n"/>
      <c r="G22" s="24" t="n"/>
    </row>
    <row r="23">
      <c r="A23" s="5" t="inlineStr">
        <is>
          <t xml:space="preserve">  资产 − 负债 − 权益</t>
        </is>
      </c>
      <c r="C23" s="28">
        <f>Consol_BS!C9-Consol_BS!C21</f>
        <v/>
      </c>
      <c r="D23" s="28">
        <f>Consol_BS!D9-Consol_BS!D21</f>
        <v/>
      </c>
      <c r="E23" s="28">
        <f>Consol_BS!E9-Consol_BS!E21</f>
        <v/>
      </c>
      <c r="F23" s="28">
        <f>Consol_BS!F9-Consol_BS!F21</f>
        <v/>
      </c>
      <c r="G23" s="28">
        <f>Consol_BS!G9-Consol_BS!G21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0B05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合并现金流量表（间接法）</t>
        </is>
      </c>
    </row>
    <row r="2">
      <c r="A2" s="2" t="inlineStr">
        <is>
          <t>合并 NI+D&amp;A+ΔWC；内部结算不出合并范围自动消失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合并净利润</t>
        </is>
      </c>
      <c r="C4" s="8">
        <f>Consol_IS!C16</f>
        <v/>
      </c>
      <c r="D4" s="8">
        <f>Consol_IS!D16</f>
        <v/>
      </c>
      <c r="E4" s="8">
        <f>Consol_IS!E16</f>
        <v/>
      </c>
      <c r="F4" s="8">
        <f>Consol_IS!F16</f>
        <v/>
      </c>
      <c r="G4" s="8">
        <f>Consol_IS!G16</f>
        <v/>
      </c>
    </row>
    <row r="5">
      <c r="A5" s="5" t="inlineStr">
        <is>
          <t xml:space="preserve">    加：折旧（训练+推理）</t>
        </is>
      </c>
      <c r="C5" s="8">
        <f>Capex_Dep!C22+Capex_Dep!C24</f>
        <v/>
      </c>
      <c r="D5" s="8">
        <f>Capex_Dep!D22+Capex_Dep!D24</f>
        <v/>
      </c>
      <c r="E5" s="8">
        <f>Capex_Dep!E22+Capex_Dep!E24</f>
        <v/>
      </c>
      <c r="F5" s="8">
        <f>Capex_Dep!F22+Capex_Dep!F24</f>
        <v/>
      </c>
      <c r="G5" s="8">
        <f>Capex_Dep!G22+Capex_Dep!G24</f>
        <v/>
      </c>
    </row>
    <row r="6">
      <c r="A6" s="5" t="inlineStr">
        <is>
          <t xml:space="preserve">    减：应收增加</t>
        </is>
      </c>
      <c r="C6" s="8">
        <f>-(Consol_BS!C5-(0))</f>
        <v/>
      </c>
      <c r="D6" s="8">
        <f>-(Consol_BS!D5-(Consol_BS!C5))</f>
        <v/>
      </c>
      <c r="E6" s="8">
        <f>-(Consol_BS!E5-(Consol_BS!D5))</f>
        <v/>
      </c>
      <c r="F6" s="8">
        <f>-(Consol_BS!F5-(Consol_BS!E5))</f>
        <v/>
      </c>
      <c r="G6" s="8">
        <f>-(Consol_BS!G5-(Consol_BS!F5))</f>
        <v/>
      </c>
    </row>
    <row r="7">
      <c r="A7" s="5" t="inlineStr">
        <is>
          <t xml:space="preserve">    加：递延增加</t>
        </is>
      </c>
      <c r="C7" s="8">
        <f>Consol_BS!C12-(0)</f>
        <v/>
      </c>
      <c r="D7" s="8">
        <f>Consol_BS!D12-(Consol_BS!C12)</f>
        <v/>
      </c>
      <c r="E7" s="8">
        <f>Consol_BS!E12-(Consol_BS!D12)</f>
        <v/>
      </c>
      <c r="F7" s="8">
        <f>Consol_BS!F12-(Consol_BS!E12)</f>
        <v/>
      </c>
      <c r="G7" s="8">
        <f>Consol_BS!G12-(Consol_BS!F12)</f>
        <v/>
      </c>
    </row>
    <row r="8">
      <c r="A8" s="5" t="inlineStr">
        <is>
          <t xml:space="preserve">    加：应付增加</t>
        </is>
      </c>
      <c r="C8" s="8">
        <f>Consol_BS!C11-(0)</f>
        <v/>
      </c>
      <c r="D8" s="8">
        <f>Consol_BS!D11-(Consol_BS!C11)</f>
        <v/>
      </c>
      <c r="E8" s="8">
        <f>Consol_BS!E11-(Consol_BS!D11)</f>
        <v/>
      </c>
      <c r="F8" s="8">
        <f>Consol_BS!F11-(Consol_BS!E11)</f>
        <v/>
      </c>
      <c r="G8" s="8">
        <f>Consol_BS!G11-(Consol_BS!F11)</f>
        <v/>
      </c>
    </row>
    <row r="9">
      <c r="A9" s="5" t="inlineStr">
        <is>
          <t xml:space="preserve">    加：在途挂账变动</t>
        </is>
      </c>
      <c r="B9" s="2" t="inlineStr">
        <is>
          <t>非现金</t>
        </is>
      </c>
      <c r="C9" s="8">
        <f>Consol_BS!C14-(0)</f>
        <v/>
      </c>
      <c r="D9" s="8">
        <f>Consol_BS!D14-(Consol_BS!C14)</f>
        <v/>
      </c>
      <c r="E9" s="8">
        <f>Consol_BS!E14-(Consol_BS!D14)</f>
        <v/>
      </c>
      <c r="F9" s="8">
        <f>Consol_BS!F14-(Consol_BS!E14)</f>
        <v/>
      </c>
      <c r="G9" s="8">
        <f>Consol_BS!G14-(Consol_BS!F14)</f>
        <v/>
      </c>
    </row>
    <row r="10">
      <c r="A10" s="3" t="inlineStr">
        <is>
          <t xml:space="preserve">    经营活动现金流</t>
        </is>
      </c>
      <c r="C10" s="23">
        <f>Consol_CF!C4+Consol_CF!C5+Consol_CF!C6+Consol_CF!C7+Consol_CF!C8+Consol_CF!C9</f>
        <v/>
      </c>
      <c r="D10" s="23">
        <f>Consol_CF!D4+Consol_CF!D5+Consol_CF!D6+Consol_CF!D7+Consol_CF!D8+Consol_CF!D9</f>
        <v/>
      </c>
      <c r="E10" s="23">
        <f>Consol_CF!E4+Consol_CF!E5+Consol_CF!E6+Consol_CF!E7+Consol_CF!E8+Consol_CF!E9</f>
        <v/>
      </c>
      <c r="F10" s="23">
        <f>Consol_CF!F4+Consol_CF!F5+Consol_CF!F6+Consol_CF!F7+Consol_CF!F8+Consol_CF!F9</f>
        <v/>
      </c>
      <c r="G10" s="23">
        <f>Consol_CF!G4+Consol_CF!G5+Consol_CF!G6+Consol_CF!G7+Consol_CF!G8+Consol_CF!G9</f>
        <v/>
      </c>
    </row>
    <row r="11">
      <c r="A11" s="5" t="inlineStr">
        <is>
          <t xml:space="preserve">    投资活动现金流</t>
        </is>
      </c>
      <c r="C11" s="8">
        <f>-Capex_Dep!C5-Capex_Dep!C6</f>
        <v/>
      </c>
      <c r="D11" s="8">
        <f>-Capex_Dep!D5-Capex_Dep!D6</f>
        <v/>
      </c>
      <c r="E11" s="8">
        <f>-Capex_Dep!E5-Capex_Dep!E6</f>
        <v/>
      </c>
      <c r="F11" s="8">
        <f>-Capex_Dep!F5-Capex_Dep!F6</f>
        <v/>
      </c>
      <c r="G11" s="8">
        <f>-Capex_Dep!G5-Capex_Dep!G6</f>
        <v/>
      </c>
    </row>
    <row r="12">
      <c r="A12" s="5" t="inlineStr">
        <is>
          <t xml:space="preserve">    筹资活动（研究院注资+互联战投）</t>
        </is>
      </c>
      <c r="B12" s="2" t="inlineStr">
        <is>
          <t>子公司注资=内部划转，抵消</t>
        </is>
      </c>
      <c r="C12" s="8">
        <f>Assumptions!C56+Assumptions!C59*0.2</f>
        <v/>
      </c>
      <c r="D12" s="8">
        <f>Assumptions!D56+Assumptions!D59*0.2</f>
        <v/>
      </c>
      <c r="E12" s="8">
        <f>Assumptions!E56+Assumptions!E59*0.2</f>
        <v/>
      </c>
      <c r="F12" s="8">
        <f>Assumptions!F56+Assumptions!F59*0.2</f>
        <v/>
      </c>
      <c r="G12" s="8">
        <f>Assumptions!G56+Assumptions!G59*0.2</f>
        <v/>
      </c>
    </row>
    <row r="13">
      <c r="A13" s="3" t="inlineStr">
        <is>
          <t xml:space="preserve">    现金净变动</t>
        </is>
      </c>
      <c r="C13" s="23">
        <f>Consol_CF!C10+Consol_CF!C11+Consol_CF!C12</f>
        <v/>
      </c>
      <c r="D13" s="23">
        <f>Consol_CF!D10+Consol_CF!D11+Consol_CF!D12</f>
        <v/>
      </c>
      <c r="E13" s="23">
        <f>Consol_CF!E10+Consol_CF!E11+Consol_CF!E12</f>
        <v/>
      </c>
      <c r="F13" s="23">
        <f>Consol_CF!F10+Consol_CF!F11+Consol_CF!F12</f>
        <v/>
      </c>
      <c r="G13" s="23">
        <f>Consol_CF!G10+Consol_CF!G11+Consol_CF!G12</f>
        <v/>
      </c>
    </row>
    <row r="14">
      <c r="A14" s="3" t="inlineStr">
        <is>
          <t xml:space="preserve">    期末现金（CF 推导）</t>
        </is>
      </c>
      <c r="C14" s="23">
        <f>68000.00000100001+Consol_CF!C13</f>
        <v/>
      </c>
      <c r="D14" s="23">
        <f>C14+Consol_CF!D13</f>
        <v/>
      </c>
      <c r="E14" s="23">
        <f>D14+Consol_CF!E13</f>
        <v/>
      </c>
      <c r="F14" s="23">
        <f>E14+Consol_CF!F13</f>
        <v/>
      </c>
      <c r="G14" s="23">
        <f>F14+Consol_CF!G13</f>
        <v/>
      </c>
    </row>
    <row r="15">
      <c r="A15" s="5" t="inlineStr">
        <is>
          <t xml:space="preserve">    期末现金（Σ单体 BS）</t>
        </is>
      </c>
      <c r="C15" s="8">
        <f>HoldCo_BS!C18+Cloud_BS_CF!C15+Ind_BS_CF!C12+Toc_BS_CF!C12</f>
        <v/>
      </c>
      <c r="D15" s="8">
        <f>HoldCo_BS!D18+Cloud_BS_CF!D15+Ind_BS_CF!D12+Toc_BS_CF!D12</f>
        <v/>
      </c>
      <c r="E15" s="8">
        <f>HoldCo_BS!E18+Cloud_BS_CF!E15+Ind_BS_CF!E12+Toc_BS_CF!E12</f>
        <v/>
      </c>
      <c r="F15" s="8">
        <f>HoldCo_BS!F18+Cloud_BS_CF!F15+Ind_BS_CF!F12+Toc_BS_CF!F12</f>
        <v/>
      </c>
      <c r="G15" s="8">
        <f>HoldCo_BS!G18+Cloud_BS_CF!G15+Ind_BS_CF!G12+Toc_BS_CF!G12</f>
        <v/>
      </c>
    </row>
    <row r="16">
      <c r="A16" s="3" t="inlineStr">
        <is>
          <t>★ 合并 CF=BS 差异（应全 0）</t>
        </is>
      </c>
      <c r="C16" s="24" t="n"/>
      <c r="D16" s="24" t="n"/>
      <c r="E16" s="24" t="n"/>
      <c r="F16" s="24" t="n"/>
      <c r="G16" s="24" t="n"/>
    </row>
    <row r="17">
      <c r="A17" s="5" t="inlineStr">
        <is>
          <t xml:space="preserve">  CF推导 − Σ单体现金</t>
        </is>
      </c>
      <c r="C17" s="28">
        <f>Consol_CF!C14-Consol_CF!C15</f>
        <v/>
      </c>
      <c r="D17" s="28">
        <f>Consol_CF!D14-Consol_CF!D15</f>
        <v/>
      </c>
      <c r="E17" s="28">
        <f>Consol_CF!E14-Consol_CF!E15</f>
        <v/>
      </c>
      <c r="F17" s="28">
        <f>Consol_CF!F14-Consol_CF!F15</f>
        <v/>
      </c>
      <c r="G17" s="28">
        <f>Consol_CF!G14-Consol_CF!G15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FF0000"/>
    <outlinePr summaryBelow="1" summaryRight="1"/>
    <pageSetUpPr/>
  </sheetPr>
  <dimension ref="A1:I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9" max="9"/>
  </cols>
  <sheetData>
    <row r="1">
      <c r="A1" s="10" t="inlineStr">
        <is>
          <t>勾稽自检面板 · 8 组断言</t>
        </is>
      </c>
    </row>
    <row r="2">
      <c r="A2" s="2" t="inlineStr">
        <is>
          <t>全部公式实时链接 | 任何一格改坏假设，红灯立刻亮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  <c r="I3" s="3" t="inlineStr">
        <is>
          <t>状态</t>
        </is>
      </c>
    </row>
    <row r="4">
      <c r="A4" s="13" t="inlineStr">
        <is>
          <t>── C1 各主体资产负债表平衡（资产−负债−权益）──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</row>
    <row r="5">
      <c r="A5" s="5" t="inlineStr">
        <is>
          <t xml:space="preserve">    智擎研究院</t>
        </is>
      </c>
      <c r="B5" s="2" t="inlineStr">
        <is>
          <t>倒挤现金=结构性平衡</t>
        </is>
      </c>
      <c r="C5" s="28">
        <f>HoldCo_BS!C21</f>
        <v/>
      </c>
      <c r="D5" s="28">
        <f>HoldCo_BS!D21</f>
        <v/>
      </c>
      <c r="E5" s="28">
        <f>HoldCo_BS!E21</f>
        <v/>
      </c>
      <c r="F5" s="28">
        <f>HoldCo_BS!F21</f>
        <v/>
      </c>
      <c r="G5" s="28">
        <f>HoldCo_BS!G21</f>
        <v/>
      </c>
      <c r="I5" s="3">
        <f>IF(AND(ABS(C5)&lt;0.01,ABS(D5)&lt;0.01,ABS(E5)&lt;0.01,ABS(F5)&lt;0.01,ABS(G5)&lt;0.01),"✅ PASS","❌ FAIL")</f>
        <v/>
      </c>
    </row>
    <row r="6">
      <c r="A6" s="5" t="inlineStr">
        <is>
          <t xml:space="preserve">    智擎云</t>
        </is>
      </c>
      <c r="C6" s="28">
        <f>Cloud_BS_CF!C12+Cloud_BS_CF!C13+Cloud_BS_CF!C14-Cloud_BS_CF!C8-Cloud_BS_CF!C15</f>
        <v/>
      </c>
      <c r="D6" s="28">
        <f>Cloud_BS_CF!D12+Cloud_BS_CF!D13+Cloud_BS_CF!D14-Cloud_BS_CF!D8-Cloud_BS_CF!D15</f>
        <v/>
      </c>
      <c r="E6" s="28">
        <f>Cloud_BS_CF!E12+Cloud_BS_CF!E13+Cloud_BS_CF!E14-Cloud_BS_CF!E8-Cloud_BS_CF!E15</f>
        <v/>
      </c>
      <c r="F6" s="28">
        <f>Cloud_BS_CF!F12+Cloud_BS_CF!F13+Cloud_BS_CF!F14-Cloud_BS_CF!F8-Cloud_BS_CF!F15</f>
        <v/>
      </c>
      <c r="G6" s="28">
        <f>Cloud_BS_CF!G12+Cloud_BS_CF!G13+Cloud_BS_CF!G14-Cloud_BS_CF!G8-Cloud_BS_CF!G15</f>
        <v/>
      </c>
      <c r="I6" s="3">
        <f>IF(AND(ABS(C6)&lt;0.01,ABS(D6)&lt;0.01,ABS(E6)&lt;0.01,ABS(F6)&lt;0.01,ABS(G6)&lt;0.01),"✅ PASS","❌ FAIL")</f>
        <v/>
      </c>
    </row>
    <row r="7">
      <c r="A7" s="5" t="inlineStr">
        <is>
          <t xml:space="preserve">    智擎行业</t>
        </is>
      </c>
      <c r="C7" s="28">
        <f>Ind_BS_CF!C9+Ind_BS_CF!C10+Ind_BS_CF!C11-Ind_BS_CF!C5-Ind_BS_CF!C12</f>
        <v/>
      </c>
      <c r="D7" s="28">
        <f>Ind_BS_CF!D9+Ind_BS_CF!D10+Ind_BS_CF!D11-Ind_BS_CF!D5-Ind_BS_CF!D12</f>
        <v/>
      </c>
      <c r="E7" s="28">
        <f>Ind_BS_CF!E9+Ind_BS_CF!E10+Ind_BS_CF!E11-Ind_BS_CF!E5-Ind_BS_CF!E12</f>
        <v/>
      </c>
      <c r="F7" s="28">
        <f>Ind_BS_CF!F9+Ind_BS_CF!F10+Ind_BS_CF!F11-Ind_BS_CF!F5-Ind_BS_CF!F12</f>
        <v/>
      </c>
      <c r="G7" s="28">
        <f>Ind_BS_CF!G9+Ind_BS_CF!G10+Ind_BS_CF!G11-Ind_BS_CF!G5-Ind_BS_CF!G12</f>
        <v/>
      </c>
      <c r="I7" s="3">
        <f>IF(AND(ABS(C7)&lt;0.01,ABS(D7)&lt;0.01,ABS(E7)&lt;0.01,ABS(F7)&lt;0.01,ABS(G7)&lt;0.01),"✅ PASS","❌ FAIL")</f>
        <v/>
      </c>
    </row>
    <row r="8">
      <c r="A8" s="5" t="inlineStr">
        <is>
          <t xml:space="preserve">    智擎互联</t>
        </is>
      </c>
      <c r="C8" s="28">
        <f>Toc_BS_CF!C9+Toc_BS_CF!C10+Toc_BS_CF!C11-Toc_BS_CF!C5-Toc_BS_CF!C12</f>
        <v/>
      </c>
      <c r="D8" s="28">
        <f>Toc_BS_CF!D9+Toc_BS_CF!D10+Toc_BS_CF!D11-Toc_BS_CF!D5-Toc_BS_CF!D12</f>
        <v/>
      </c>
      <c r="E8" s="28">
        <f>Toc_BS_CF!E9+Toc_BS_CF!E10+Toc_BS_CF!E11-Toc_BS_CF!E5-Toc_BS_CF!E12</f>
        <v/>
      </c>
      <c r="F8" s="28">
        <f>Toc_BS_CF!F9+Toc_BS_CF!F10+Toc_BS_CF!F11-Toc_BS_CF!F5-Toc_BS_CF!F12</f>
        <v/>
      </c>
      <c r="G8" s="28">
        <f>Toc_BS_CF!G9+Toc_BS_CF!G10+Toc_BS_CF!G11-Toc_BS_CF!G5-Toc_BS_CF!G12</f>
        <v/>
      </c>
      <c r="I8" s="3">
        <f>IF(AND(ABS(C8)&lt;0.01,ABS(D8)&lt;0.01,ABS(E8)&lt;0.01,ABS(F8)&lt;0.01,ABS(G8)&lt;0.01),"✅ PASS","❌ FAIL")</f>
        <v/>
      </c>
    </row>
    <row r="9">
      <c r="A9" s="13" t="inlineStr">
        <is>
          <t>── C2 现金流量表 = 资产负债表现金（间接法交叉验证）──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5" t="inlineStr">
        <is>
          <t xml:space="preserve">    智擎研究院</t>
        </is>
      </c>
      <c r="C10" s="28">
        <f>HoldCo_CF!C19</f>
        <v/>
      </c>
      <c r="D10" s="28">
        <f>HoldCo_CF!D19</f>
        <v/>
      </c>
      <c r="E10" s="28">
        <f>HoldCo_CF!E19</f>
        <v/>
      </c>
      <c r="F10" s="28">
        <f>HoldCo_CF!F19</f>
        <v/>
      </c>
      <c r="G10" s="28">
        <f>HoldCo_CF!G19</f>
        <v/>
      </c>
      <c r="I10" s="3">
        <f>IF(AND(ABS(C10)&lt;0.01,ABS(D10)&lt;0.01,ABS(E10)&lt;0.01,ABS(F10)&lt;0.01,ABS(G10)&lt;0.01),"✅ PASS","❌ FAIL")</f>
        <v/>
      </c>
    </row>
    <row r="11">
      <c r="A11" s="5" t="inlineStr">
        <is>
          <t xml:space="preserve">    智擎云</t>
        </is>
      </c>
      <c r="C11" s="28">
        <f>Cloud_BS_CF!C29</f>
        <v/>
      </c>
      <c r="D11" s="28">
        <f>Cloud_BS_CF!D29</f>
        <v/>
      </c>
      <c r="E11" s="28">
        <f>Cloud_BS_CF!E29</f>
        <v/>
      </c>
      <c r="F11" s="28">
        <f>Cloud_BS_CF!F29</f>
        <v/>
      </c>
      <c r="G11" s="28">
        <f>Cloud_BS_CF!G29</f>
        <v/>
      </c>
      <c r="I11" s="3">
        <f>IF(AND(ABS(C11)&lt;0.01,ABS(D11)&lt;0.01,ABS(E11)&lt;0.01,ABS(F11)&lt;0.01,ABS(G11)&lt;0.01),"✅ PASS","❌ FAIL")</f>
        <v/>
      </c>
    </row>
    <row r="12">
      <c r="A12" s="5" t="inlineStr">
        <is>
          <t xml:space="preserve">    智擎行业</t>
        </is>
      </c>
      <c r="C12" s="28">
        <f>Ind_BS_CF!C24</f>
        <v/>
      </c>
      <c r="D12" s="28">
        <f>Ind_BS_CF!D24</f>
        <v/>
      </c>
      <c r="E12" s="28">
        <f>Ind_BS_CF!E24</f>
        <v/>
      </c>
      <c r="F12" s="28">
        <f>Ind_BS_CF!F24</f>
        <v/>
      </c>
      <c r="G12" s="28">
        <f>Ind_BS_CF!G24</f>
        <v/>
      </c>
      <c r="I12" s="3">
        <f>IF(AND(ABS(C12)&lt;0.01,ABS(D12)&lt;0.01,ABS(E12)&lt;0.01,ABS(F12)&lt;0.01,ABS(G12)&lt;0.01),"✅ PASS","❌ FAIL")</f>
        <v/>
      </c>
    </row>
    <row r="13">
      <c r="A13" s="5" t="inlineStr">
        <is>
          <t xml:space="preserve">    智擎互联</t>
        </is>
      </c>
      <c r="C13" s="28">
        <f>Toc_BS_CF!C24</f>
        <v/>
      </c>
      <c r="D13" s="28">
        <f>Toc_BS_CF!D24</f>
        <v/>
      </c>
      <c r="E13" s="28">
        <f>Toc_BS_CF!E24</f>
        <v/>
      </c>
      <c r="F13" s="28">
        <f>Toc_BS_CF!F24</f>
        <v/>
      </c>
      <c r="G13" s="28">
        <f>Toc_BS_CF!G24</f>
        <v/>
      </c>
      <c r="I13" s="3">
        <f>IF(AND(ABS(C13)&lt;0.01,ABS(D13)&lt;0.01,ABS(E13)&lt;0.01,ABS(F13)&lt;0.01,ABS(G13)&lt;0.01),"✅ PASS","❌ FAIL")</f>
        <v/>
      </c>
    </row>
    <row r="14">
      <c r="A14" s="5" t="inlineStr">
        <is>
          <t xml:space="preserve">    合并集团</t>
        </is>
      </c>
      <c r="C14" s="28">
        <f>Consol_CF!C17</f>
        <v/>
      </c>
      <c r="D14" s="28">
        <f>Consol_CF!D17</f>
        <v/>
      </c>
      <c r="E14" s="28">
        <f>Consol_CF!E17</f>
        <v/>
      </c>
      <c r="F14" s="28">
        <f>Consol_CF!F17</f>
        <v/>
      </c>
      <c r="G14" s="28">
        <f>Consol_CF!G17</f>
        <v/>
      </c>
      <c r="I14" s="3">
        <f>IF(AND(ABS(C14)&lt;0.01,ABS(D14)&lt;0.01,ABS(E14)&lt;0.01,ABS(F14)&lt;0.01,ABS(G14)&lt;0.01),"✅ PASS","❌ FAIL")</f>
        <v/>
      </c>
    </row>
    <row r="15">
      <c r="A15" s="13" t="inlineStr">
        <is>
          <t>── C3 合并资产负债表平衡 ──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5" t="inlineStr">
        <is>
          <t xml:space="preserve">    合并资产 − 负债 − 权益</t>
        </is>
      </c>
      <c r="C16" s="28">
        <f>Consol_BS!C23</f>
        <v/>
      </c>
      <c r="D16" s="28">
        <f>Consol_BS!D23</f>
        <v/>
      </c>
      <c r="E16" s="28">
        <f>Consol_BS!E23</f>
        <v/>
      </c>
      <c r="F16" s="28">
        <f>Consol_BS!F23</f>
        <v/>
      </c>
      <c r="G16" s="28">
        <f>Consol_BS!G23</f>
        <v/>
      </c>
      <c r="I16" s="3">
        <f>IF(AND(ABS(C16)&lt;0.01,ABS(D16)&lt;0.01,ABS(E16)&lt;0.01,ABS(F16)&lt;0.01,ABS(G16)&lt;0.01),"✅ PASS","❌ FAIL")</f>
        <v/>
      </c>
    </row>
    <row r="17">
      <c r="A17" s="13" t="inlineStr">
        <is>
          <t>── C4 合并 vs Σ单体 交叉验证（合并−Σ应=0）──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5" t="inlineStr">
        <is>
          <t xml:space="preserve">    货币资金</t>
        </is>
      </c>
      <c r="C18" s="28">
        <f>Consol_BS!C4-(HoldCo_BS!C18+Cloud_BS_CF!C15+Ind_BS_CF!C12+Toc_BS_CF!C12)</f>
        <v/>
      </c>
      <c r="D18" s="28">
        <f>Consol_BS!D4-(HoldCo_BS!D18+Cloud_BS_CF!D15+Ind_BS_CF!D12+Toc_BS_CF!D12)</f>
        <v/>
      </c>
      <c r="E18" s="28">
        <f>Consol_BS!E4-(HoldCo_BS!E18+Cloud_BS_CF!E15+Ind_BS_CF!E12+Toc_BS_CF!E12)</f>
        <v/>
      </c>
      <c r="F18" s="28">
        <f>Consol_BS!F4-(HoldCo_BS!F18+Cloud_BS_CF!F15+Ind_BS_CF!F12+Toc_BS_CF!F12)</f>
        <v/>
      </c>
      <c r="G18" s="28">
        <f>Consol_BS!G4-(HoldCo_BS!G18+Cloud_BS_CF!G15+Ind_BS_CF!G12+Toc_BS_CF!G12)</f>
        <v/>
      </c>
      <c r="I18" s="3">
        <f>IF(AND(ABS(C18)&lt;0.01,ABS(D18)&lt;0.01,ABS(E18)&lt;0.01,ABS(F18)&lt;0.01,ABS(G18)&lt;0.01),"✅ PASS","❌ FAIL")</f>
        <v/>
      </c>
    </row>
    <row r="19">
      <c r="A19" s="5" t="inlineStr">
        <is>
          <t xml:space="preserve">    应收账款</t>
        </is>
      </c>
      <c r="C19" s="28">
        <f>Consol_BS!C5-(HoldCo_BS!C4+Cloud_BS_CF!C5+Ind_BS_CF!C5+Toc_BS_CF!C5)</f>
        <v/>
      </c>
      <c r="D19" s="28">
        <f>Consol_BS!D5-(HoldCo_BS!D4+Cloud_BS_CF!D5+Ind_BS_CF!D5+Toc_BS_CF!D5)</f>
        <v/>
      </c>
      <c r="E19" s="28">
        <f>Consol_BS!E5-(HoldCo_BS!E4+Cloud_BS_CF!E5+Ind_BS_CF!E5+Toc_BS_CF!E5)</f>
        <v/>
      </c>
      <c r="F19" s="28">
        <f>Consol_BS!F5-(HoldCo_BS!F4+Cloud_BS_CF!F5+Ind_BS_CF!F5+Toc_BS_CF!F5)</f>
        <v/>
      </c>
      <c r="G19" s="28">
        <f>Consol_BS!G5-(HoldCo_BS!G4+Cloud_BS_CF!G5+Ind_BS_CF!G5+Toc_BS_CF!G5)</f>
        <v/>
      </c>
      <c r="I19" s="3">
        <f>IF(AND(ABS(C19)&lt;0.01,ABS(D19)&lt;0.01,ABS(E19)&lt;0.01,ABS(F19)&lt;0.01,ABS(G19)&lt;0.01),"✅ PASS","❌ FAIL")</f>
        <v/>
      </c>
    </row>
    <row r="20">
      <c r="A20" s="5" t="inlineStr">
        <is>
          <t xml:space="preserve">    净利润</t>
        </is>
      </c>
      <c r="C20" s="28">
        <f>Consol_IS!C16-(HoldCo_IS!C14+Cloud_IS!C18+Ind_IS!C18+Toc_IS!C17)</f>
        <v/>
      </c>
      <c r="D20" s="28">
        <f>Consol_IS!D16-(HoldCo_IS!D14+Cloud_IS!D18+Ind_IS!D18+Toc_IS!D17)</f>
        <v/>
      </c>
      <c r="E20" s="28">
        <f>Consol_IS!E16-(HoldCo_IS!E14+Cloud_IS!E18+Ind_IS!E18+Toc_IS!E17)</f>
        <v/>
      </c>
      <c r="F20" s="28">
        <f>Consol_IS!F16-(HoldCo_IS!F14+Cloud_IS!F18+Ind_IS!F18+Toc_IS!F17)</f>
        <v/>
      </c>
      <c r="G20" s="28">
        <f>Consol_IS!G16-(HoldCo_IS!G14+Cloud_IS!G18+Ind_IS!G18+Toc_IS!G17)</f>
        <v/>
      </c>
      <c r="I20" s="3">
        <f>IF(AND(ABS(C20)&lt;0.01,ABS(D20)&lt;0.01,ABS(E20)&lt;0.01,ABS(F20)&lt;0.01,ABS(G20)&lt;0.01),"✅ PASS","❌ FAIL")</f>
        <v/>
      </c>
    </row>
    <row r="21">
      <c r="A21" s="13" t="inlineStr">
        <is>
          <t>── C5 关联方对账（调节后全 0）──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5" t="inlineStr">
        <is>
          <t xml:space="preserve">    研究院 ↔ 智擎云</t>
        </is>
      </c>
      <c r="C22" s="28">
        <f>IC_Recon!C7</f>
        <v/>
      </c>
      <c r="D22" s="28">
        <f>IC_Recon!D7</f>
        <v/>
      </c>
      <c r="E22" s="28">
        <f>IC_Recon!E7</f>
        <v/>
      </c>
      <c r="F22" s="28">
        <f>IC_Recon!F7</f>
        <v/>
      </c>
      <c r="G22" s="28">
        <f>IC_Recon!G7</f>
        <v/>
      </c>
      <c r="I22" s="3">
        <f>IF(AND(ABS(C22)&lt;0.01,ABS(D22)&lt;0.01,ABS(E22)&lt;0.01,ABS(F22)&lt;0.01,ABS(G22)&lt;0.01),"✅ PASS","❌ FAIL")</f>
        <v/>
      </c>
    </row>
    <row r="23">
      <c r="A23" s="5" t="inlineStr">
        <is>
          <t xml:space="preserve">    研究院 ↔ 智擎行业</t>
        </is>
      </c>
      <c r="C23" s="28">
        <f>IC_Recon!C11</f>
        <v/>
      </c>
      <c r="D23" s="28">
        <f>IC_Recon!D11</f>
        <v/>
      </c>
      <c r="E23" s="28">
        <f>IC_Recon!E11</f>
        <v/>
      </c>
      <c r="F23" s="28">
        <f>IC_Recon!F11</f>
        <v/>
      </c>
      <c r="G23" s="28">
        <f>IC_Recon!G11</f>
        <v/>
      </c>
      <c r="I23" s="3">
        <f>IF(AND(ABS(C23)&lt;0.01,ABS(D23)&lt;0.01,ABS(E23)&lt;0.01,ABS(F23)&lt;0.01,ABS(G23)&lt;0.01),"✅ PASS","❌ FAIL")</f>
        <v/>
      </c>
    </row>
    <row r="24">
      <c r="A24" s="5" t="inlineStr">
        <is>
          <t xml:space="preserve">    研究院 ↔ 智擎互联</t>
        </is>
      </c>
      <c r="C24" s="28">
        <f>IC_Recon!C15</f>
        <v/>
      </c>
      <c r="D24" s="28">
        <f>IC_Recon!D15</f>
        <v/>
      </c>
      <c r="E24" s="28">
        <f>IC_Recon!E15</f>
        <v/>
      </c>
      <c r="F24" s="28">
        <f>IC_Recon!F15</f>
        <v/>
      </c>
      <c r="G24" s="28">
        <f>IC_Recon!G15</f>
        <v/>
      </c>
      <c r="I24" s="3">
        <f>IF(AND(ABS(C24)&lt;0.01,ABS(D24)&lt;0.01,ABS(E24)&lt;0.01,ABS(F24)&lt;0.01,ABS(G24)&lt;0.01),"✅ PASS","❌ FAIL")</f>
        <v/>
      </c>
    </row>
    <row r="25">
      <c r="A25" s="5" t="inlineStr">
        <is>
          <t xml:space="preserve">    智擎云 ↔ 智擎互联（在途调节后）</t>
        </is>
      </c>
      <c r="B25" s="2" t="inlineStr">
        <is>
          <t>调节前差异 220 → 调节归零</t>
        </is>
      </c>
      <c r="C25" s="28">
        <f>IC_Recon!C23</f>
        <v/>
      </c>
      <c r="D25" s="28">
        <f>IC_Recon!D23</f>
        <v/>
      </c>
      <c r="E25" s="28">
        <f>IC_Recon!E23</f>
        <v/>
      </c>
      <c r="F25" s="28">
        <f>IC_Recon!F23</f>
        <v/>
      </c>
      <c r="G25" s="28">
        <f>IC_Recon!G23</f>
        <v/>
      </c>
      <c r="I25" s="3">
        <f>IF(AND(ABS(C25)&lt;0.01,ABS(D25)&lt;0.01,ABS(E25)&lt;0.01,ABS(F25)&lt;0.01,ABS(G25)&lt;0.01),"✅ PASS","❌ FAIL")</f>
        <v/>
      </c>
    </row>
    <row r="26">
      <c r="A26" s="13" t="inlineStr">
        <is>
          <t>── C7 利润滚动：RE[t] − RE[t−1] = 当年 NI ──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</row>
    <row r="27">
      <c r="A27" s="5" t="inlineStr">
        <is>
          <t xml:space="preserve">    智擎研究院</t>
        </is>
      </c>
      <c r="C27" s="28">
        <f>HoldCo_BS!C15--15000-HoldCo_IS!C14</f>
        <v/>
      </c>
      <c r="D27" s="28">
        <f>HoldCo_BS!D15-HoldCo_BS!C15-HoldCo_IS!D14</f>
        <v/>
      </c>
      <c r="E27" s="28">
        <f>HoldCo_BS!E15-HoldCo_BS!D15-HoldCo_IS!E14</f>
        <v/>
      </c>
      <c r="F27" s="28">
        <f>HoldCo_BS!F15-HoldCo_BS!E15-HoldCo_IS!F14</f>
        <v/>
      </c>
      <c r="G27" s="28">
        <f>HoldCo_BS!G15-HoldCo_BS!F15-HoldCo_IS!G14</f>
        <v/>
      </c>
      <c r="I27" s="3">
        <f>IF(AND(ABS(C27)&lt;0.01,ABS(D27)&lt;0.01,ABS(E27)&lt;0.01,ABS(F27)&lt;0.01,ABS(G27)&lt;0.01),"✅ PASS","❌ FAIL")</f>
        <v/>
      </c>
    </row>
    <row r="28">
      <c r="A28" s="5" t="inlineStr">
        <is>
          <t xml:space="preserve">    智擎云</t>
        </is>
      </c>
      <c r="C28" s="28">
        <f>Cloud_BS_CF!C14--8000-Cloud_IS!C18</f>
        <v/>
      </c>
      <c r="D28" s="28">
        <f>Cloud_BS_CF!D14-Cloud_BS_CF!C14-Cloud_IS!D18</f>
        <v/>
      </c>
      <c r="E28" s="28">
        <f>Cloud_BS_CF!E14-Cloud_BS_CF!D14-Cloud_IS!E18</f>
        <v/>
      </c>
      <c r="F28" s="28">
        <f>Cloud_BS_CF!F14-Cloud_BS_CF!E14-Cloud_IS!F18</f>
        <v/>
      </c>
      <c r="G28" s="28">
        <f>Cloud_BS_CF!G14-Cloud_BS_CF!F14-Cloud_IS!G18</f>
        <v/>
      </c>
      <c r="I28" s="3">
        <f>IF(AND(ABS(C28)&lt;0.01,ABS(D28)&lt;0.01,ABS(E28)&lt;0.01,ABS(F28)&lt;0.01,ABS(G28)&lt;0.01),"✅ PASS","❌ FAIL")</f>
        <v/>
      </c>
    </row>
    <row r="29">
      <c r="A29" s="5" t="inlineStr">
        <is>
          <t xml:space="preserve">    智擎行业</t>
        </is>
      </c>
      <c r="C29" s="28">
        <f>Ind_BS_CF!C11--4000-Ind_IS!C18</f>
        <v/>
      </c>
      <c r="D29" s="28">
        <f>Ind_BS_CF!D11-Ind_BS_CF!C11-Ind_IS!D18</f>
        <v/>
      </c>
      <c r="E29" s="28">
        <f>Ind_BS_CF!E11-Ind_BS_CF!D11-Ind_IS!E18</f>
        <v/>
      </c>
      <c r="F29" s="28">
        <f>Ind_BS_CF!F11-Ind_BS_CF!E11-Ind_IS!F18</f>
        <v/>
      </c>
      <c r="G29" s="28">
        <f>Ind_BS_CF!G11-Ind_BS_CF!F11-Ind_IS!G18</f>
        <v/>
      </c>
      <c r="I29" s="3">
        <f>IF(AND(ABS(C29)&lt;0.01,ABS(D29)&lt;0.01,ABS(E29)&lt;0.01,ABS(F29)&lt;0.01,ABS(G29)&lt;0.01),"✅ PASS","❌ FAIL")</f>
        <v/>
      </c>
    </row>
    <row r="30">
      <c r="A30" s="5" t="inlineStr">
        <is>
          <t xml:space="preserve">    智擎互联</t>
        </is>
      </c>
      <c r="C30" s="28">
        <f>Toc_BS_CF!C11--3000-Toc_IS!C17</f>
        <v/>
      </c>
      <c r="D30" s="28">
        <f>Toc_BS_CF!D11-Toc_BS_CF!C11-Toc_IS!D17</f>
        <v/>
      </c>
      <c r="E30" s="28">
        <f>Toc_BS_CF!E11-Toc_BS_CF!D11-Toc_IS!E17</f>
        <v/>
      </c>
      <c r="F30" s="28">
        <f>Toc_BS_CF!F11-Toc_BS_CF!E11-Toc_IS!F17</f>
        <v/>
      </c>
      <c r="G30" s="28">
        <f>Toc_BS_CF!G11-Toc_BS_CF!F11-Toc_IS!G17</f>
        <v/>
      </c>
      <c r="I30" s="3">
        <f>IF(AND(ABS(C30)&lt;0.01,ABS(D30)&lt;0.01,ABS(E30)&lt;0.01,ABS(F30)&lt;0.01,ABS(G30)&lt;0.01),"✅ PASS","❌ FAIL")</f>
        <v/>
      </c>
    </row>
    <row r="31">
      <c r="A31" s="13" t="inlineStr">
        <is>
          <t>── C8 归母净利润 + 少数股东损益 = 合并净利润 ──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</row>
    <row r="32">
      <c r="A32" s="5" t="inlineStr">
        <is>
          <t xml:space="preserve">    归属拆分核对</t>
        </is>
      </c>
      <c r="C32" s="28">
        <f>Consol_IS!C18+Consol_IS!C17-Consol_IS!C16</f>
        <v/>
      </c>
      <c r="D32" s="28">
        <f>Consol_IS!D18+Consol_IS!D17-Consol_IS!D16</f>
        <v/>
      </c>
      <c r="E32" s="28">
        <f>Consol_IS!E18+Consol_IS!E17-Consol_IS!E16</f>
        <v/>
      </c>
      <c r="F32" s="28">
        <f>Consol_IS!F18+Consol_IS!F17-Consol_IS!F16</f>
        <v/>
      </c>
      <c r="G32" s="28">
        <f>Consol_IS!G18+Consol_IS!G17-Consol_IS!G16</f>
        <v/>
      </c>
      <c r="I32" s="3">
        <f>IF(AND(ABS(C32)&lt;0.01,ABS(D32)&lt;0.01,ABS(E32)&lt;0.01,ABS(F32)&lt;0.01,ABS(G32)&lt;0.01),"✅ PASS","❌ FAIL")</f>
        <v/>
      </c>
    </row>
    <row r="34">
      <c r="A34" s="9" t="inlineStr">
        <is>
          <t>总检灯</t>
        </is>
      </c>
      <c r="C34" s="9">
        <f>IF(COUNTIF(I4:I32,"✅ PASS")=22,"🟢 全部通过 — 模型勾稽完整","🔴 存在断言失败，检查上行")</f>
        <v/>
      </c>
    </row>
  </sheetData>
  <mergeCells count="1">
    <mergeCell ref="C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2026-08-25T10:20:09Z</dcterms:created>
  <dcterms:modified xsi:type="dcterms:W3CDTF">2026-08-25T10:20:09Z</dcterms:modified>
</cp:coreProperties>
</file>