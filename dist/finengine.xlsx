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Meta" sheetId="2" state="visible" r:id="rId2"/>
    <sheet name="Assumptions" sheetId="3" state="visible" r:id="rId3"/>
    <sheet name="Capex_Dep" sheetId="4" state="visible" r:id="rId4"/>
    <sheet name="Cloud_IS" sheetId="5" state="visible" r:id="rId5"/>
    <sheet name="Cloud_BS_CF" sheetId="6" state="visible" r:id="rId6"/>
    <sheet name="Ind_IS" sheetId="7" state="visible" r:id="rId7"/>
    <sheet name="Ind_BS_CF" sheetId="8" state="visible" r:id="rId8"/>
    <sheet name="Toc_IS" sheetId="9" state="visible" r:id="rId9"/>
    <sheet name="Toc_BS_CF" sheetId="10" state="visible" r:id="rId10"/>
    <sheet name="HoldCo_IS" sheetId="11" state="visible" r:id="rId11"/>
    <sheet name="HoldCo_BS" sheetId="12" state="visible" r:id="rId12"/>
    <sheet name="HoldCo_CF" sheetId="13" state="visible" r:id="rId13"/>
    <sheet name="IC_Register" sheetId="14" state="visible" r:id="rId14"/>
    <sheet name="IC_Recon" sheetId="15" state="visible" r:id="rId15"/>
    <sheet name="Eliminations" sheetId="16" state="visible" r:id="rId16"/>
    <sheet name="Consol_IS" sheetId="17" state="visible" r:id="rId17"/>
    <sheet name="Consol_BS" sheetId="18" state="visible" r:id="rId18"/>
    <sheet name="Consol_CF" sheetId="19" state="visible" r:id="rId19"/>
    <sheet name="FactTable" sheetId="20" state="visible" r:id="rId20"/>
    <sheet name="Dashboard" sheetId="21" state="visible" r:id="rId21"/>
    <sheet name="UE" sheetId="22" state="visible" r:id="rId22"/>
    <sheet name="ProjectEval" sheetId="23" state="visible" r:id="rId23"/>
    <sheet name="Checks" sheetId="24" state="visible" r:id="rId24"/>
  </sheets>
  <definedNames>
    <definedName name="_xlnm._FilterDatabase" localSheetId="1" hidden="1">'Meta'!$A$3:$I$393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0&quot;A&quot;"/>
    <numFmt numFmtId="165" formatCode="#,##0.000"/>
    <numFmt numFmtId="166" formatCode="0&quot;E&quot;"/>
    <numFmt numFmtId="167" formatCode="0.0%"/>
    <numFmt numFmtId="168" formatCode="#,##0;[Red](#,##0)"/>
    <numFmt numFmtId="169" formatCode="0.0"/>
    <numFmt numFmtId="170" formatCode="0.0&quot;x&quot;"/>
    <numFmt numFmtId="171" formatCode="0&quot;年&quot;"/>
    <numFmt numFmtId="172" formatCode="#,##0.0;[Red](#,##0.0)"/>
    <numFmt numFmtId="173" formatCode="0.00&quot;x&quot;"/>
  </numFmts>
  <fonts count="12">
    <font>
      <name val="Calibri"/>
      <family val="2"/>
      <color theme="1"/>
      <sz val="11"/>
      <scheme val="minor"/>
    </font>
    <font>
      <name val="等线"/>
      <b val="1"/>
      <sz val="13"/>
    </font>
    <font>
      <name val="等线"/>
      <color rgb="00808080"/>
      <sz val="9"/>
    </font>
    <font>
      <name val="等线"/>
      <b val="1"/>
      <color rgb="00FFFFFF"/>
    </font>
    <font>
      <name val="等线"/>
      <color rgb="00000000"/>
    </font>
    <font>
      <name val="等线"/>
      <color rgb="000000FF"/>
    </font>
    <font>
      <name val="等线"/>
      <b val="1"/>
      <sz val="14"/>
    </font>
    <font>
      <name val="等线"/>
      <b val="1"/>
    </font>
    <font>
      <name val="等线"/>
      <color rgb="00007000"/>
    </font>
    <font>
      <name val="等线"/>
      <b val="1"/>
      <sz val="12"/>
    </font>
    <font>
      <name val="等线"/>
      <b val="1"/>
      <sz val="20"/>
    </font>
    <font>
      <name val="等线"/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thin">
        <color rgb="00B0B0B0"/>
      </top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4" fillId="0" borderId="0" pivotButton="0" quotePrefix="0" xfId="0"/>
    <xf numFmtId="164" fontId="3" fillId="2" borderId="0" pivotButton="0" quotePrefix="0" xfId="0"/>
    <xf numFmtId="166" fontId="3" fillId="2" borderId="0" pivotButton="0" quotePrefix="0" xfId="0"/>
    <xf numFmtId="168" fontId="4" fillId="0" borderId="0" pivotButton="0" quotePrefix="0" xfId="0"/>
    <xf numFmtId="0" fontId="9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6" fontId="0" fillId="0" borderId="0" pivotButton="0" quotePrefix="0" xfId="0"/>
    <xf numFmtId="0" fontId="6" fillId="0" borderId="0" pivotButton="0" quotePrefix="0" xfId="0"/>
    <xf numFmtId="164" fontId="3" fillId="2" borderId="0" applyAlignment="1" pivotButton="0" quotePrefix="0" xfId="0">
      <alignment horizontal="center"/>
    </xf>
    <xf numFmtId="166" fontId="3" fillId="2" borderId="0" applyAlignment="1" pivotButton="0" quotePrefix="0" xfId="0">
      <alignment horizontal="center"/>
    </xf>
    <xf numFmtId="0" fontId="7" fillId="3" borderId="0" pivotButton="0" quotePrefix="0" xfId="0"/>
    <xf numFmtId="0" fontId="0" fillId="3" borderId="0" pivotButton="0" quotePrefix="0" xfId="0"/>
    <xf numFmtId="0" fontId="8" fillId="0" borderId="0" pivotButton="0" quotePrefix="0" xfId="0"/>
    <xf numFmtId="167" fontId="8" fillId="0" borderId="0" pivotButton="0" quotePrefix="0" xfId="0"/>
    <xf numFmtId="3" fontId="8" fillId="0" borderId="0" pivotButton="0" quotePrefix="0" xfId="0"/>
    <xf numFmtId="2" fontId="8" fillId="0" borderId="0" pivotButton="0" quotePrefix="0" xfId="0"/>
    <xf numFmtId="168" fontId="8" fillId="0" borderId="0" pivotButton="0" quotePrefix="0" xfId="0"/>
    <xf numFmtId="169" fontId="8" fillId="0" borderId="0" pivotButton="0" quotePrefix="0" xfId="0"/>
    <xf numFmtId="170" fontId="8" fillId="0" borderId="0" pivotButton="0" quotePrefix="0" xfId="0"/>
    <xf numFmtId="171" fontId="5" fillId="0" borderId="0" pivotButton="0" quotePrefix="0" xfId="0"/>
    <xf numFmtId="168" fontId="0" fillId="0" borderId="0" pivotButton="0" quotePrefix="0" xfId="0"/>
    <xf numFmtId="168" fontId="4" fillId="0" borderId="1" pivotButton="0" quotePrefix="0" xfId="0"/>
    <xf numFmtId="168" fontId="0" fillId="0" borderId="1" pivotButton="0" quotePrefix="0" xfId="0"/>
    <xf numFmtId="172" fontId="8" fillId="0" borderId="0" pivotButton="0" quotePrefix="0" xfId="0"/>
    <xf numFmtId="0" fontId="7" fillId="4" borderId="0" pivotButton="0" quotePrefix="0" xfId="0"/>
    <xf numFmtId="168" fontId="4" fillId="4" borderId="1" pivotButton="0" quotePrefix="0" xfId="0"/>
    <xf numFmtId="172" fontId="4" fillId="0" borderId="0" pivotButton="0" quotePrefix="0" xfId="0"/>
    <xf numFmtId="0" fontId="7" fillId="5" borderId="0" pivotButton="0" quotePrefix="0" xfId="0"/>
    <xf numFmtId="168" fontId="4" fillId="5" borderId="1" pivotButton="0" quotePrefix="0" xfId="0"/>
    <xf numFmtId="0" fontId="3" fillId="2" borderId="0" applyAlignment="1" pivotButton="0" quotePrefix="0" xfId="0">
      <alignment horizontal="center"/>
    </xf>
    <xf numFmtId="1" fontId="4" fillId="0" borderId="0" pivotButton="0" quotePrefix="0" xfId="0"/>
    <xf numFmtId="0" fontId="5" fillId="6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7" fontId="4" fillId="0" borderId="0" pivotButton="0" quotePrefix="0" xfId="0"/>
    <xf numFmtId="0" fontId="2" fillId="5" borderId="0" pivotButton="0" quotePrefix="0" xfId="0"/>
    <xf numFmtId="0" fontId="0" fillId="5" borderId="0" pivotButton="0" quotePrefix="0" xfId="0"/>
    <xf numFmtId="172" fontId="4" fillId="4" borderId="1" pivotButton="0" quotePrefix="0" xfId="0"/>
    <xf numFmtId="2" fontId="4" fillId="0" borderId="0" pivotButton="0" quotePrefix="0" xfId="0"/>
    <xf numFmtId="2" fontId="4" fillId="0" borderId="1" pivotButton="0" quotePrefix="0" xfId="0"/>
    <xf numFmtId="167" fontId="4" fillId="0" borderId="1" pivotButton="0" quotePrefix="0" xfId="0"/>
    <xf numFmtId="3" fontId="4" fillId="0" borderId="0" pivotButton="0" quotePrefix="0" xfId="0"/>
    <xf numFmtId="169" fontId="4" fillId="0" borderId="0" pivotButton="0" quotePrefix="0" xfId="0"/>
    <xf numFmtId="2" fontId="5" fillId="0" borderId="0" pivotButton="0" quotePrefix="0" xfId="0"/>
    <xf numFmtId="173" fontId="4" fillId="0" borderId="1" pivotButton="0" quotePrefix="0" xfId="0"/>
    <xf numFmtId="169" fontId="4" fillId="0" borderId="1" pivotButton="0" quotePrefix="0" xfId="0"/>
    <xf numFmtId="0" fontId="7" fillId="6" borderId="0" pivotButton="0" quotePrefix="0" xfId="0"/>
    <xf numFmtId="0" fontId="0" fillId="6" borderId="0" pivotButton="0" quotePrefix="0" xfId="0"/>
    <xf numFmtId="168" fontId="5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173" fontId="5" fillId="2" borderId="0" applyAlignment="1" pivotButton="0" quotePrefix="0" xfId="0">
      <alignment horizontal="center"/>
    </xf>
    <xf numFmtId="17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智擎集团 · 集团财务分析模型</t>
        </is>
      </c>
    </row>
    <row r="2">
      <c r="A2" s="2" t="inlineStr">
        <is>
          <t>虚构大模型集团（参考智谱商业模式）| Python+openpyxl 全公式生成 | 单位：万元</t>
        </is>
      </c>
    </row>
    <row r="4">
      <c r="A4" s="3" t="inlineStr">
        <is>
          <t>导航</t>
        </is>
      </c>
      <c r="B4" s="3" t="inlineStr">
        <is>
          <t>说明</t>
        </is>
      </c>
    </row>
    <row r="5">
      <c r="A5" s="4" t="inlineStr">
        <is>
          <t>Meta</t>
        </is>
      </c>
      <c r="B5" s="5" t="inlineStr">
        <is>
          <t>数据层宽表——全模型唯一取数源，日常只改 G 列</t>
        </is>
      </c>
    </row>
    <row r="6">
      <c r="A6" s="4" t="inlineStr">
        <is>
          <t>Assumptions</t>
        </is>
      </c>
      <c r="B6" s="5" t="inlineStr">
        <is>
          <t>指标视图层——全部实时取自 Meta（SUMIFS）</t>
        </is>
      </c>
    </row>
    <row r="7">
      <c r="A7" s="4" t="inlineStr">
        <is>
          <t>Capex_Dep</t>
        </is>
      </c>
      <c r="B7" s="5" t="inlineStr">
        <is>
          <t>GPU 资本开支与折旧引擎（批次法）</t>
        </is>
      </c>
    </row>
    <row r="8">
      <c r="A8" s="4" t="inlineStr">
        <is>
          <t>Cloud_IS</t>
        </is>
      </c>
      <c r="B8" s="5" t="inlineStr">
        <is>
          <t>智擎云 · MaaS（单体全量）</t>
        </is>
      </c>
    </row>
    <row r="9">
      <c r="A9" s="4" t="inlineStr">
        <is>
          <t>Ind_IS</t>
        </is>
      </c>
      <c r="B9" s="5" t="inlineStr">
        <is>
          <t>智擎行业 · 私有化+解决方案</t>
        </is>
      </c>
    </row>
    <row r="10">
      <c r="A10" s="4" t="inlineStr">
        <is>
          <t>Toc_IS</t>
        </is>
      </c>
      <c r="B10" s="5" t="inlineStr">
        <is>
          <t>智擎互联 · C端（母持 80%）</t>
        </is>
      </c>
    </row>
    <row r="11">
      <c r="A11" s="4" t="inlineStr">
        <is>
          <t>HoldCo_IS</t>
        </is>
      </c>
      <c r="B11" s="5" t="inlineStr">
        <is>
          <t>智擎研究院 · 全量三表（关联收入方）</t>
        </is>
      </c>
    </row>
    <row r="12">
      <c r="A12" s="4" t="inlineStr">
        <is>
          <t>IC_Register</t>
        </is>
      </c>
      <c r="B12" s="5" t="inlineStr">
        <is>
          <t>内部交易登记簿（T1/T2/T3）</t>
        </is>
      </c>
    </row>
    <row r="13">
      <c r="A13" s="4" t="inlineStr">
        <is>
          <t>IC_Recon</t>
        </is>
      </c>
      <c r="B13" s="5" t="inlineStr">
        <is>
          <t>关联方对账矩阵 + cut-off 在途调节</t>
        </is>
      </c>
    </row>
    <row r="14">
      <c r="A14" s="4" t="inlineStr">
        <is>
          <t>Eliminations</t>
        </is>
      </c>
      <c r="B14" s="5" t="inlineStr">
        <is>
          <t>合并抵消分录底稿（E0-E3）</t>
        </is>
      </c>
    </row>
    <row r="15">
      <c r="A15" s="4" t="inlineStr">
        <is>
          <t>Consol_IS</t>
        </is>
      </c>
      <c r="B15" s="5" t="inlineStr">
        <is>
          <t>合并三表（Σ单体−抵消）</t>
        </is>
      </c>
    </row>
    <row r="16">
      <c r="A16" s="4" t="inlineStr">
        <is>
          <t>FactTable</t>
        </is>
      </c>
      <c r="B16" s="5" t="inlineStr">
        <is>
          <t>维度数据仓 + 四下拉自选切换看板</t>
        </is>
      </c>
    </row>
    <row r="17">
      <c r="A17" s="4" t="inlineStr">
        <is>
          <t>UE</t>
        </is>
      </c>
      <c r="B17" s="5" t="inlineStr">
        <is>
          <t>单位经济：MaaS 单token/单客户 · C端单用户</t>
        </is>
      </c>
    </row>
    <row r="18">
      <c r="A18" s="4" t="inlineStr">
        <is>
          <t>ProjectEval</t>
        </is>
      </c>
      <c r="B18" s="5" t="inlineStr">
        <is>
          <t>私有化项目评估：NPV/IRR + 敏感性</t>
        </is>
      </c>
    </row>
    <row r="19">
      <c r="A19" s="4" t="inlineStr">
        <is>
          <t>Checks</t>
        </is>
      </c>
      <c r="B19" s="5" t="inlineStr">
        <is>
          <t>勾稽自检面板：8 组断言全绿才可信</t>
        </is>
      </c>
    </row>
    <row r="21">
      <c r="A21" s="3" t="inlineStr">
        <is>
          <t>集团速览（合并口径）</t>
        </is>
      </c>
      <c r="B21" s="6" t="n">
        <v>2023</v>
      </c>
      <c r="C21" s="6" t="n">
        <v>2024</v>
      </c>
      <c r="D21" s="6" t="n">
        <v>2025</v>
      </c>
      <c r="E21" s="7" t="n">
        <v>2026</v>
      </c>
      <c r="F21" s="7" t="n">
        <v>2027</v>
      </c>
    </row>
    <row r="22">
      <c r="A22" s="5" t="inlineStr">
        <is>
          <t>营业收入</t>
        </is>
      </c>
      <c r="B22" s="8">
        <f>Consol_IS!C6</f>
        <v/>
      </c>
      <c r="C22" s="8">
        <f>Consol_IS!D6</f>
        <v/>
      </c>
      <c r="D22" s="8">
        <f>Consol_IS!E6</f>
        <v/>
      </c>
      <c r="E22" s="8">
        <f>Consol_IS!F6</f>
        <v/>
      </c>
      <c r="F22" s="8">
        <f>Consol_IS!G6</f>
        <v/>
      </c>
    </row>
    <row r="23">
      <c r="A23" s="5" t="inlineStr">
        <is>
          <t>净利润</t>
        </is>
      </c>
      <c r="B23" s="8">
        <f>Consol_IS!C16</f>
        <v/>
      </c>
      <c r="C23" s="8">
        <f>Consol_IS!D16</f>
        <v/>
      </c>
      <c r="D23" s="8">
        <f>Consol_IS!E16</f>
        <v/>
      </c>
      <c r="E23" s="8">
        <f>Consol_IS!F16</f>
        <v/>
      </c>
      <c r="F23" s="8">
        <f>Consol_IS!G16</f>
        <v/>
      </c>
    </row>
    <row r="24">
      <c r="A24" s="5" t="inlineStr">
        <is>
          <t>归母净利润</t>
        </is>
      </c>
      <c r="B24" s="8">
        <f>Consol_IS!C18</f>
        <v/>
      </c>
      <c r="C24" s="8">
        <f>Consol_IS!D18</f>
        <v/>
      </c>
      <c r="D24" s="8">
        <f>Consol_IS!E18</f>
        <v/>
      </c>
      <c r="E24" s="8">
        <f>Consol_IS!F18</f>
        <v/>
      </c>
      <c r="F24" s="8">
        <f>Consol_IS!G18</f>
        <v/>
      </c>
    </row>
    <row r="25">
      <c r="A25" s="5" t="inlineStr">
        <is>
          <t>期末现金</t>
        </is>
      </c>
      <c r="B25" s="8">
        <f>Consol_BS!C4</f>
        <v/>
      </c>
      <c r="C25" s="8">
        <f>Consol_BS!D4</f>
        <v/>
      </c>
      <c r="D25" s="8">
        <f>Consol_BS!E4</f>
        <v/>
      </c>
      <c r="E25" s="8">
        <f>Consol_BS!F4</f>
        <v/>
      </c>
      <c r="F25" s="8">
        <f>Consol_BS!G4</f>
        <v/>
      </c>
    </row>
    <row r="26">
      <c r="A26" s="5" t="inlineStr">
        <is>
          <t>GPU 净值</t>
        </is>
      </c>
      <c r="B26" s="8">
        <f>Consol_BS!C6</f>
        <v/>
      </c>
      <c r="C26" s="8">
        <f>Consol_BS!D6</f>
        <v/>
      </c>
      <c r="D26" s="8">
        <f>Consol_BS!E6</f>
        <v/>
      </c>
      <c r="E26" s="8">
        <f>Consol_BS!F6</f>
        <v/>
      </c>
      <c r="F26" s="8">
        <f>Consol_BS!G6</f>
        <v/>
      </c>
    </row>
    <row r="28">
      <c r="A28" s="3" t="inlineStr">
        <is>
          <t>勾稽总检灯 →</t>
        </is>
      </c>
      <c r="B28" s="9">
        <f>IF(Checks!C34="","",Checks!C34)</f>
        <v/>
      </c>
    </row>
  </sheetData>
  <hyperlinks>
    <hyperlink ref="A5" location="'Meta'!A1"/>
    <hyperlink ref="A6" location="'Assumptions'!A1"/>
    <hyperlink ref="A7" location="'Capex_Dep'!A1"/>
    <hyperlink ref="A8" location="'Cloud_IS'!A1"/>
    <hyperlink ref="A9" location="'Ind_IS'!A1"/>
    <hyperlink ref="A10" location="'Toc_IS'!A1"/>
    <hyperlink ref="A11" location="'HoldCo_IS'!A1"/>
    <hyperlink ref="A12" location="'IC_Register'!A1"/>
    <hyperlink ref="A13" location="'IC_Recon'!A1"/>
    <hyperlink ref="A14" location="'Eliminations'!A1"/>
    <hyperlink ref="A15" location="'Consol_IS'!A1"/>
    <hyperlink ref="A16" location="'FactTable'!A1"/>
    <hyperlink ref="A17" location="'UE'!A1"/>
    <hyperlink ref="A18" location="'ProjectEval'!A1"/>
    <hyperlink ref="A19" location="'Checks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8F00"/>
    <outlinePr summaryBelow="1" summaryRight="1"/>
    <pageSetUpPr/>
  </sheetPr>
  <dimension ref="A1:I3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10" customWidth="1" min="5" max="5"/>
    <col width="20" customWidth="1" min="6" max="6"/>
    <col width="12" customWidth="1" min="7" max="7"/>
    <col width="12" customWidth="1" min="8" max="8"/>
    <col width="22" customWidth="1" min="9" max="9"/>
  </cols>
  <sheetData>
    <row r="1">
      <c r="A1" s="10" t="inlineStr">
        <is>
          <t>Meta · 数据层宽表（全模型唯一取数源）</t>
        </is>
      </c>
    </row>
    <row r="2">
      <c r="A2" s="2" t="inlineStr">
        <is>
          <t>字段：主体/业务线/地区/期间/场景(A实际·B预算)/指标/值/来源/备注  |  日常=按期灌数与维护来源；引擎与公式零改动</t>
        </is>
      </c>
    </row>
    <row r="3">
      <c r="A3" s="11" t="inlineStr">
        <is>
          <t>entity</t>
        </is>
      </c>
      <c r="B3" s="11" t="inlineStr">
        <is>
          <t>segment</t>
        </is>
      </c>
      <c r="C3" s="11" t="inlineStr">
        <is>
          <t>region</t>
        </is>
      </c>
      <c r="D3" s="11" t="inlineStr">
        <is>
          <t>period</t>
        </is>
      </c>
      <c r="E3" s="11" t="inlineStr">
        <is>
          <t>scenario</t>
        </is>
      </c>
      <c r="F3" s="11" t="inlineStr">
        <is>
          <t>metric</t>
        </is>
      </c>
      <c r="G3" s="11" t="inlineStr">
        <is>
          <t>value</t>
        </is>
      </c>
      <c r="H3" s="11" t="inlineStr">
        <is>
          <t>source</t>
        </is>
      </c>
      <c r="I3" s="11" t="inlineStr">
        <is>
          <t>note</t>
        </is>
      </c>
    </row>
    <row r="4">
      <c r="A4" t="inlineStr">
        <is>
          <t>GROUP</t>
        </is>
      </c>
      <c r="D4" s="12" t="n">
        <v>2023</v>
      </c>
      <c r="E4" t="inlineStr">
        <is>
          <t>ACTUAL</t>
        </is>
      </c>
      <c r="F4" s="5" t="inlineStr">
        <is>
          <t>tax_rate</t>
        </is>
      </c>
      <c r="G4" s="13" t="n">
        <v>0.15</v>
      </c>
      <c r="H4" t="inlineStr">
        <is>
          <t>假设初始化</t>
        </is>
      </c>
      <c r="I4" t="inlineStr">
        <is>
          <t>所得税率</t>
        </is>
      </c>
    </row>
    <row r="5">
      <c r="A5" t="inlineStr">
        <is>
          <t>GROUP</t>
        </is>
      </c>
      <c r="D5" s="12" t="n">
        <v>2023</v>
      </c>
      <c r="E5" t="inlineStr">
        <is>
          <t>ACTUAL</t>
        </is>
      </c>
      <c r="F5" s="5" t="inlineStr">
        <is>
          <t>dso_days</t>
        </is>
      </c>
      <c r="G5" s="13" t="n">
        <v>60</v>
      </c>
      <c r="H5" t="inlineStr">
        <is>
          <t>假设初始化</t>
        </is>
      </c>
      <c r="I5" t="inlineStr">
        <is>
          <t>应收账期（天）</t>
        </is>
      </c>
    </row>
    <row r="6">
      <c r="A6" t="inlineStr">
        <is>
          <t>GROUP</t>
        </is>
      </c>
      <c r="D6" s="12" t="n">
        <v>2023</v>
      </c>
      <c r="E6" t="inlineStr">
        <is>
          <t>ACTUAL</t>
        </is>
      </c>
      <c r="F6" s="5" t="inlineStr">
        <is>
          <t>dpo_days</t>
        </is>
      </c>
      <c r="G6" s="13" t="n">
        <v>45</v>
      </c>
      <c r="H6" t="inlineStr">
        <is>
          <t>假设初始化</t>
        </is>
      </c>
      <c r="I6" t="inlineStr">
        <is>
          <t>应付账期（天）</t>
        </is>
      </c>
    </row>
    <row r="7">
      <c r="A7" t="inlineStr">
        <is>
          <t>GROUP</t>
        </is>
      </c>
      <c r="D7" s="12" t="n">
        <v>2023</v>
      </c>
      <c r="E7" t="inlineStr">
        <is>
          <t>ACTUAL</t>
        </is>
      </c>
      <c r="F7" s="5" t="inlineStr">
        <is>
          <t>ic_days</t>
        </is>
      </c>
      <c r="G7" s="13" t="n">
        <v>60</v>
      </c>
      <c r="H7" t="inlineStr">
        <is>
          <t>假设初始化</t>
        </is>
      </c>
      <c r="I7" t="inlineStr">
        <is>
          <t>内部往来账期（天）</t>
        </is>
      </c>
    </row>
    <row r="8">
      <c r="A8" t="inlineStr">
        <is>
          <t>GROUP</t>
        </is>
      </c>
      <c r="D8" s="12" t="n">
        <v>2023</v>
      </c>
      <c r="E8" t="inlineStr">
        <is>
          <t>ACTUAL</t>
        </is>
      </c>
      <c r="F8" s="5" t="inlineStr">
        <is>
          <t>wacc</t>
        </is>
      </c>
      <c r="G8" s="13" t="n">
        <v>0.1</v>
      </c>
      <c r="H8" t="inlineStr">
        <is>
          <t>假设初始化</t>
        </is>
      </c>
      <c r="I8" t="inlineStr">
        <is>
          <t>WACC</t>
        </is>
      </c>
    </row>
    <row r="9">
      <c r="A9" t="inlineStr">
        <is>
          <t>GROUP</t>
        </is>
      </c>
      <c r="C9" t="inlineStr">
        <is>
          <t>华东</t>
        </is>
      </c>
      <c r="D9" s="12" t="n">
        <v>2023</v>
      </c>
      <c r="E9" t="inlineStr">
        <is>
          <t>ACTUAL</t>
        </is>
      </c>
      <c r="F9" s="5" t="inlineStr">
        <is>
          <t>region_mix</t>
        </is>
      </c>
      <c r="G9" s="13" t="n">
        <v>0.35</v>
      </c>
      <c r="H9" t="inlineStr">
        <is>
          <t>行业研究</t>
        </is>
      </c>
      <c r="I9" t="inlineStr">
        <is>
          <t>收入地区占比</t>
        </is>
      </c>
    </row>
    <row r="10">
      <c r="A10" t="inlineStr">
        <is>
          <t>GROUP</t>
        </is>
      </c>
      <c r="C10" t="inlineStr">
        <is>
          <t>华北</t>
        </is>
      </c>
      <c r="D10" s="12" t="n">
        <v>2023</v>
      </c>
      <c r="E10" t="inlineStr">
        <is>
          <t>ACTUAL</t>
        </is>
      </c>
      <c r="F10" s="5" t="inlineStr">
        <is>
          <t>region_mix</t>
        </is>
      </c>
      <c r="G10" s="13" t="n">
        <v>0.3</v>
      </c>
      <c r="H10" t="inlineStr">
        <is>
          <t>行业研究</t>
        </is>
      </c>
      <c r="I10" t="inlineStr">
        <is>
          <t>收入地区占比</t>
        </is>
      </c>
    </row>
    <row r="11">
      <c r="A11" t="inlineStr">
        <is>
          <t>GROUP</t>
        </is>
      </c>
      <c r="C11" t="inlineStr">
        <is>
          <t>华南</t>
        </is>
      </c>
      <c r="D11" s="12" t="n">
        <v>2023</v>
      </c>
      <c r="E11" t="inlineStr">
        <is>
          <t>ACTUAL</t>
        </is>
      </c>
      <c r="F11" s="5" t="inlineStr">
        <is>
          <t>region_mix</t>
        </is>
      </c>
      <c r="G11" s="13" t="n">
        <v>0.2</v>
      </c>
      <c r="H11" t="inlineStr">
        <is>
          <t>行业研究</t>
        </is>
      </c>
      <c r="I11" t="inlineStr">
        <is>
          <t>收入地区占比</t>
        </is>
      </c>
    </row>
    <row r="12">
      <c r="A12" t="inlineStr">
        <is>
          <t>GROUP</t>
        </is>
      </c>
      <c r="C12" t="inlineStr">
        <is>
          <t>海外</t>
        </is>
      </c>
      <c r="D12" s="12" t="n">
        <v>2023</v>
      </c>
      <c r="E12" t="inlineStr">
        <is>
          <t>ACTUAL</t>
        </is>
      </c>
      <c r="F12" s="5" t="inlineStr">
        <is>
          <t>region_mix</t>
        </is>
      </c>
      <c r="G12" s="13" t="n">
        <v>0.15</v>
      </c>
      <c r="H12" t="inlineStr">
        <is>
          <t>行业研究</t>
        </is>
      </c>
      <c r="I12" t="inlineStr">
        <is>
          <t>收入地区占比</t>
        </is>
      </c>
    </row>
    <row r="13">
      <c r="A13" t="inlineStr">
        <is>
          <t>CLOUD</t>
        </is>
      </c>
      <c r="D13" s="12" t="n">
        <v>2023</v>
      </c>
      <c r="E13" t="inlineStr">
        <is>
          <t>ACTUAL</t>
        </is>
      </c>
      <c r="F13" s="5" t="inlineStr">
        <is>
          <t>token_volume_day</t>
        </is>
      </c>
      <c r="G13" s="13" t="n">
        <v>30</v>
      </c>
      <c r="H13" t="inlineStr">
        <is>
          <t>假设初始化</t>
        </is>
      </c>
      <c r="I13" t="inlineStr">
        <is>
          <t>日均 token 消耗（B/day）</t>
        </is>
      </c>
    </row>
    <row r="14">
      <c r="A14" t="inlineStr">
        <is>
          <t>CLOUD</t>
        </is>
      </c>
      <c r="D14" s="12" t="n">
        <v>2023</v>
      </c>
      <c r="E14" t="inlineStr">
        <is>
          <t>ACTUAL</t>
        </is>
      </c>
      <c r="F14" s="5" t="inlineStr">
        <is>
          <t>api_price</t>
        </is>
      </c>
      <c r="G14" s="13" t="n">
        <v>5.5</v>
      </c>
      <c r="H14" t="inlineStr">
        <is>
          <t>假设初始化</t>
        </is>
      </c>
      <c r="I14" t="inlineStr">
        <is>
          <t>综合单价（元/M tokens）</t>
        </is>
      </c>
    </row>
    <row r="15">
      <c r="A15" t="inlineStr">
        <is>
          <t>CLOUD</t>
        </is>
      </c>
      <c r="D15" s="12" t="n">
        <v>2023</v>
      </c>
      <c r="E15" t="inlineStr">
        <is>
          <t>ACTUAL</t>
        </is>
      </c>
      <c r="F15" s="5" t="inlineStr">
        <is>
          <t>inference_ucost</t>
        </is>
      </c>
      <c r="G15" s="13" t="n">
        <v>2.5</v>
      </c>
      <c r="H15" t="inlineStr">
        <is>
          <t>假设初始化</t>
        </is>
      </c>
      <c r="I15" t="inlineStr">
        <is>
          <t>推理单位成本（元/M tok）</t>
        </is>
      </c>
    </row>
    <row r="16">
      <c r="A16" t="inlineStr">
        <is>
          <t>CLOUD</t>
        </is>
      </c>
      <c r="D16" s="12" t="n">
        <v>2023</v>
      </c>
      <c r="E16" t="inlineStr">
        <is>
          <t>ACTUAL</t>
        </is>
      </c>
      <c r="F16" s="5" t="inlineStr">
        <is>
          <t>bandwidth_fee</t>
        </is>
      </c>
      <c r="G16" s="13" t="n">
        <v>300</v>
      </c>
      <c r="H16" t="inlineStr">
        <is>
          <t>假设初始化</t>
        </is>
      </c>
      <c r="I16" t="inlineStr">
        <is>
          <t>带宽机房费用（万）</t>
        </is>
      </c>
    </row>
    <row r="17">
      <c r="A17" t="inlineStr">
        <is>
          <t>CLOUD</t>
        </is>
      </c>
      <c r="D17" s="12" t="n">
        <v>2023</v>
      </c>
      <c r="E17" t="inlineStr">
        <is>
          <t>ACTUAL</t>
        </is>
      </c>
      <c r="F17" s="5" t="inlineStr">
        <is>
          <t>customers</t>
        </is>
      </c>
      <c r="G17" s="13" t="n">
        <v>800</v>
      </c>
      <c r="H17" t="inlineStr">
        <is>
          <t>假设初始化</t>
        </is>
      </c>
      <c r="I17" t="inlineStr">
        <is>
          <t>付费客户数（家）</t>
        </is>
      </c>
    </row>
    <row r="18">
      <c r="A18" t="inlineStr">
        <is>
          <t>CLOUD</t>
        </is>
      </c>
      <c r="D18" s="12" t="n">
        <v>2023</v>
      </c>
      <c r="E18" t="inlineStr">
        <is>
          <t>ACTUAL</t>
        </is>
      </c>
      <c r="F18" s="5" t="inlineStr">
        <is>
          <t>churn_m</t>
        </is>
      </c>
      <c r="G18" s="13" t="n">
        <v>0.012</v>
      </c>
      <c r="H18" t="inlineStr">
        <is>
          <t>假设初始化</t>
        </is>
      </c>
      <c r="I18" t="inlineStr">
        <is>
          <t>月流失率</t>
        </is>
      </c>
    </row>
    <row r="19">
      <c r="A19" t="inlineStr">
        <is>
          <t>IND</t>
        </is>
      </c>
      <c r="D19" s="12" t="n">
        <v>2023</v>
      </c>
      <c r="E19" t="inlineStr">
        <is>
          <t>ACTUAL</t>
        </is>
      </c>
      <c r="F19" s="5" t="inlineStr">
        <is>
          <t>projects_pvt</t>
        </is>
      </c>
      <c r="G19" s="13" t="n">
        <v>8</v>
      </c>
      <c r="H19" t="inlineStr">
        <is>
          <t>假设初始化</t>
        </is>
      </c>
      <c r="I19" t="inlineStr">
        <is>
          <t>私有化项目数（个）</t>
        </is>
      </c>
    </row>
    <row r="20">
      <c r="A20" t="inlineStr">
        <is>
          <t>IND</t>
        </is>
      </c>
      <c r="D20" s="12" t="n">
        <v>2023</v>
      </c>
      <c r="E20" t="inlineStr">
        <is>
          <t>ACTUAL</t>
        </is>
      </c>
      <c r="F20" s="5" t="inlineStr">
        <is>
          <t>avg_contract</t>
        </is>
      </c>
      <c r="G20" s="13" t="n">
        <v>1000</v>
      </c>
      <c r="H20" t="inlineStr">
        <is>
          <t>假设初始化</t>
        </is>
      </c>
      <c r="I20" t="inlineStr">
        <is>
          <t>平均合同额（万）</t>
        </is>
      </c>
    </row>
    <row r="21">
      <c r="A21" t="inlineStr">
        <is>
          <t>IND</t>
        </is>
      </c>
      <c r="D21" s="12" t="n">
        <v>2023</v>
      </c>
      <c r="E21" t="inlineStr">
        <is>
          <t>ACTUAL</t>
        </is>
      </c>
      <c r="F21" s="5" t="inlineStr">
        <is>
          <t>subscribers_sol</t>
        </is>
      </c>
      <c r="G21" s="13" t="n">
        <v>12</v>
      </c>
      <c r="H21" t="inlineStr">
        <is>
          <t>假设初始化</t>
        </is>
      </c>
      <c r="I21" t="inlineStr">
        <is>
          <t>解决方案签约客户（累计）</t>
        </is>
      </c>
    </row>
    <row r="22">
      <c r="A22" t="inlineStr">
        <is>
          <t>IND</t>
        </is>
      </c>
      <c r="D22" s="12" t="n">
        <v>2023</v>
      </c>
      <c r="E22" t="inlineStr">
        <is>
          <t>ACTUAL</t>
        </is>
      </c>
      <c r="F22" s="5" t="inlineStr">
        <is>
          <t>sub_fee</t>
        </is>
      </c>
      <c r="G22" s="13" t="n">
        <v>100</v>
      </c>
      <c r="H22" t="inlineStr">
        <is>
          <t>假设初始化</t>
        </is>
      </c>
      <c r="I22" t="inlineStr">
        <is>
          <t>解决方案年费（万）</t>
        </is>
      </c>
    </row>
    <row r="23">
      <c r="A23" t="inlineStr">
        <is>
          <t>IND</t>
        </is>
      </c>
      <c r="D23" s="12" t="n">
        <v>2023</v>
      </c>
      <c r="E23" t="inlineStr">
        <is>
          <t>ACTUAL</t>
        </is>
      </c>
      <c r="F23" s="5" t="inlineStr">
        <is>
          <t>cogs_rate_pvt</t>
        </is>
      </c>
      <c r="G23" s="13" t="n">
        <v>0.61</v>
      </c>
      <c r="H23" t="inlineStr">
        <is>
          <t>假设初始化</t>
        </is>
      </c>
      <c r="I23" t="inlineStr">
        <is>
          <t>私有化成本率</t>
        </is>
      </c>
    </row>
    <row r="24">
      <c r="A24" t="inlineStr">
        <is>
          <t>IND</t>
        </is>
      </c>
      <c r="D24" s="12" t="n">
        <v>2023</v>
      </c>
      <c r="E24" t="inlineStr">
        <is>
          <t>ACTUAL</t>
        </is>
      </c>
      <c r="F24" s="5" t="inlineStr">
        <is>
          <t>cogs_rate_sol</t>
        </is>
      </c>
      <c r="G24" s="13" t="n">
        <v>0.42</v>
      </c>
      <c r="H24" t="inlineStr">
        <is>
          <t>假设初始化</t>
        </is>
      </c>
      <c r="I24" t="inlineStr">
        <is>
          <t>解决方案成本率</t>
        </is>
      </c>
    </row>
    <row r="25">
      <c r="A25" t="inlineStr">
        <is>
          <t>TOC</t>
        </is>
      </c>
      <c r="D25" s="12" t="n">
        <v>2023</v>
      </c>
      <c r="E25" t="inlineStr">
        <is>
          <t>ACTUAL</t>
        </is>
      </c>
      <c r="F25" s="5" t="inlineStr">
        <is>
          <t>mau_w</t>
        </is>
      </c>
      <c r="G25" s="13" t="n">
        <v>300</v>
      </c>
      <c r="H25" t="inlineStr">
        <is>
          <t>假设初始化</t>
        </is>
      </c>
      <c r="I25" t="inlineStr">
        <is>
          <t>MAU（万人）</t>
        </is>
      </c>
    </row>
    <row r="26">
      <c r="A26" t="inlineStr">
        <is>
          <t>TOC</t>
        </is>
      </c>
      <c r="D26" s="12" t="n">
        <v>2023</v>
      </c>
      <c r="E26" t="inlineStr">
        <is>
          <t>ACTUAL</t>
        </is>
      </c>
      <c r="F26" s="5" t="inlineStr">
        <is>
          <t>pay_rate</t>
        </is>
      </c>
      <c r="G26" s="13" t="n">
        <v>0.02</v>
      </c>
      <c r="H26" t="inlineStr">
        <is>
          <t>假设初始化</t>
        </is>
      </c>
      <c r="I26" t="inlineStr">
        <is>
          <t>付费转化率</t>
        </is>
      </c>
    </row>
    <row r="27">
      <c r="A27" t="inlineStr">
        <is>
          <t>TOC</t>
        </is>
      </c>
      <c r="D27" s="12" t="n">
        <v>2023</v>
      </c>
      <c r="E27" t="inlineStr">
        <is>
          <t>ACTUAL</t>
        </is>
      </c>
      <c r="F27" s="5" t="inlineStr">
        <is>
          <t>arppu</t>
        </is>
      </c>
      <c r="G27" s="13" t="n">
        <v>25</v>
      </c>
      <c r="H27" t="inlineStr">
        <is>
          <t>假设初始化</t>
        </is>
      </c>
      <c r="I27" t="inlineStr">
        <is>
          <t>ARPPU（元/付费/月）</t>
        </is>
      </c>
    </row>
    <row r="28">
      <c r="A28" t="inlineStr">
        <is>
          <t>TOC</t>
        </is>
      </c>
      <c r="D28" s="12" t="n">
        <v>2023</v>
      </c>
      <c r="E28" t="inlineStr">
        <is>
          <t>ACTUAL</t>
        </is>
      </c>
      <c r="F28" s="5" t="inlineStr">
        <is>
          <t>ads_rev</t>
        </is>
      </c>
      <c r="G28" s="13" t="n">
        <v>400</v>
      </c>
      <c r="H28" t="inlineStr">
        <is>
          <t>假设初始化</t>
        </is>
      </c>
      <c r="I28" t="inlineStr">
        <is>
          <t>广告收入（万）</t>
        </is>
      </c>
    </row>
    <row r="29">
      <c r="A29" t="inlineStr">
        <is>
          <t>TOC</t>
        </is>
      </c>
      <c r="D29" s="12" t="n">
        <v>2023</v>
      </c>
      <c r="E29" t="inlineStr">
        <is>
          <t>ACTUAL</t>
        </is>
      </c>
      <c r="F29" s="5" t="inlineStr">
        <is>
          <t>ucost_toc</t>
        </is>
      </c>
      <c r="G29" s="13" t="n">
        <v>0.46</v>
      </c>
      <c r="H29" t="inlineStr">
        <is>
          <t>假设初始化</t>
        </is>
      </c>
      <c r="I29" t="inlineStr">
        <is>
          <t>单位推理+带宽成本（元/MAU/月）</t>
        </is>
      </c>
    </row>
    <row r="30">
      <c r="A30" t="inlineStr">
        <is>
          <t>TOC</t>
        </is>
      </c>
      <c r="D30" s="12" t="n">
        <v>2023</v>
      </c>
      <c r="E30" t="inlineStr">
        <is>
          <t>ACTUAL</t>
        </is>
      </c>
      <c r="F30" s="5" t="inlineStr">
        <is>
          <t>cac</t>
        </is>
      </c>
      <c r="G30" s="13" t="n">
        <v>8</v>
      </c>
      <c r="H30" t="inlineStr">
        <is>
          <t>投放实测</t>
        </is>
      </c>
      <c r="I30" t="inlineStr">
        <is>
          <t>获客成本（元/新增用户）</t>
        </is>
      </c>
    </row>
    <row r="31">
      <c r="A31" t="inlineStr">
        <is>
          <t>TOC</t>
        </is>
      </c>
      <c r="D31" s="12" t="n">
        <v>2023</v>
      </c>
      <c r="E31" t="inlineStr">
        <is>
          <t>ACTUAL</t>
        </is>
      </c>
      <c r="F31" s="5" t="inlineStr">
        <is>
          <t>new_user_mult</t>
        </is>
      </c>
      <c r="G31" s="13" t="n">
        <v>1.5</v>
      </c>
      <c r="H31" t="inlineStr">
        <is>
          <t>假设初始化</t>
        </is>
      </c>
      <c r="I31" t="inlineStr">
        <is>
          <t>新增用户=MAU增量×</t>
        </is>
      </c>
    </row>
    <row r="32">
      <c r="A32" t="inlineStr">
        <is>
          <t>CLOUD</t>
        </is>
      </c>
      <c r="D32" s="12" t="n">
        <v>2023</v>
      </c>
      <c r="E32" t="inlineStr">
        <is>
          <t>ACTUAL</t>
        </is>
      </c>
      <c r="F32" s="5" t="inlineStr">
        <is>
          <t>headcount_rd</t>
        </is>
      </c>
      <c r="G32" s="13" t="n">
        <v>150</v>
      </c>
      <c r="H32" t="inlineStr">
        <is>
          <t>假设初始化</t>
        </is>
      </c>
      <c r="I32" t="inlineStr">
        <is>
          <t>研发编制（人）</t>
        </is>
      </c>
    </row>
    <row r="33">
      <c r="A33" t="inlineStr">
        <is>
          <t>CLOUD</t>
        </is>
      </c>
      <c r="D33" s="12" t="n">
        <v>2023</v>
      </c>
      <c r="E33" t="inlineStr">
        <is>
          <t>ACTUAL</t>
        </is>
      </c>
      <c r="F33" s="5" t="inlineStr">
        <is>
          <t>salary_rd</t>
        </is>
      </c>
      <c r="G33" s="13" t="n">
        <v>70</v>
      </c>
      <c r="H33" t="inlineStr">
        <is>
          <t>假设初始化</t>
        </is>
      </c>
      <c r="I33" t="inlineStr">
        <is>
          <t>研发人均全成本（万/年）</t>
        </is>
      </c>
    </row>
    <row r="34">
      <c r="A34" t="inlineStr">
        <is>
          <t>CLOUD</t>
        </is>
      </c>
      <c r="D34" s="12" t="n">
        <v>2023</v>
      </c>
      <c r="E34" t="inlineStr">
        <is>
          <t>ACTUAL</t>
        </is>
      </c>
      <c r="F34" s="5" t="inlineStr">
        <is>
          <t>headcount_sales</t>
        </is>
      </c>
      <c r="G34" s="13" t="n">
        <v>30</v>
      </c>
      <c r="H34" t="inlineStr">
        <is>
          <t>假设初始化</t>
        </is>
      </c>
      <c r="I34" t="inlineStr">
        <is>
          <t>销售编制（人）</t>
        </is>
      </c>
    </row>
    <row r="35">
      <c r="A35" t="inlineStr">
        <is>
          <t>CLOUD</t>
        </is>
      </c>
      <c r="D35" s="12" t="n">
        <v>2023</v>
      </c>
      <c r="E35" t="inlineStr">
        <is>
          <t>ACTUAL</t>
        </is>
      </c>
      <c r="F35" s="5" t="inlineStr">
        <is>
          <t>salary_sales</t>
        </is>
      </c>
      <c r="G35" s="13" t="n">
        <v>60</v>
      </c>
      <c r="H35" t="inlineStr">
        <is>
          <t>假设初始化</t>
        </is>
      </c>
      <c r="I35" t="inlineStr">
        <is>
          <t>销售人均全成本（万/年）</t>
        </is>
      </c>
    </row>
    <row r="36">
      <c r="A36" t="inlineStr">
        <is>
          <t>CLOUD</t>
        </is>
      </c>
      <c r="D36" s="12" t="n">
        <v>2023</v>
      </c>
      <c r="E36" t="inlineStr">
        <is>
          <t>ACTUAL</t>
        </is>
      </c>
      <c r="F36" s="5" t="inlineStr">
        <is>
          <t>headcount_gna</t>
        </is>
      </c>
      <c r="G36" s="13" t="n">
        <v>20</v>
      </c>
      <c r="H36" t="inlineStr">
        <is>
          <t>假设初始化</t>
        </is>
      </c>
      <c r="I36" t="inlineStr">
        <is>
          <t>管理编制（人）</t>
        </is>
      </c>
    </row>
    <row r="37">
      <c r="A37" t="inlineStr">
        <is>
          <t>CLOUD</t>
        </is>
      </c>
      <c r="D37" s="12" t="n">
        <v>2023</v>
      </c>
      <c r="E37" t="inlineStr">
        <is>
          <t>ACTUAL</t>
        </is>
      </c>
      <c r="F37" s="5" t="inlineStr">
        <is>
          <t>salary_gna</t>
        </is>
      </c>
      <c r="G37" s="13" t="n">
        <v>55</v>
      </c>
      <c r="H37" t="inlineStr">
        <is>
          <t>假设初始化</t>
        </is>
      </c>
      <c r="I37" t="inlineStr">
        <is>
          <t>管理人均全成本（万/年）</t>
        </is>
      </c>
    </row>
    <row r="38">
      <c r="A38" t="inlineStr">
        <is>
          <t>IND</t>
        </is>
      </c>
      <c r="D38" s="12" t="n">
        <v>2023</v>
      </c>
      <c r="E38" t="inlineStr">
        <is>
          <t>ACTUAL</t>
        </is>
      </c>
      <c r="F38" s="5" t="inlineStr">
        <is>
          <t>headcount_rd</t>
        </is>
      </c>
      <c r="G38" s="13" t="n">
        <v>40</v>
      </c>
      <c r="H38" t="inlineStr">
        <is>
          <t>假设初始化</t>
        </is>
      </c>
      <c r="I38" t="inlineStr">
        <is>
          <t>研发编制（人）</t>
        </is>
      </c>
    </row>
    <row r="39">
      <c r="A39" t="inlineStr">
        <is>
          <t>IND</t>
        </is>
      </c>
      <c r="D39" s="12" t="n">
        <v>2023</v>
      </c>
      <c r="E39" t="inlineStr">
        <is>
          <t>ACTUAL</t>
        </is>
      </c>
      <c r="F39" s="5" t="inlineStr">
        <is>
          <t>salary_rd</t>
        </is>
      </c>
      <c r="G39" s="13" t="n">
        <v>70</v>
      </c>
      <c r="H39" t="inlineStr">
        <is>
          <t>假设初始化</t>
        </is>
      </c>
      <c r="I39" t="inlineStr">
        <is>
          <t>研发人均全成本（万/年）</t>
        </is>
      </c>
    </row>
    <row r="40">
      <c r="A40" t="inlineStr">
        <is>
          <t>IND</t>
        </is>
      </c>
      <c r="D40" s="12" t="n">
        <v>2023</v>
      </c>
      <c r="E40" t="inlineStr">
        <is>
          <t>ACTUAL</t>
        </is>
      </c>
      <c r="F40" s="5" t="inlineStr">
        <is>
          <t>headcount_sales</t>
        </is>
      </c>
      <c r="G40" s="13" t="n">
        <v>20</v>
      </c>
      <c r="H40" t="inlineStr">
        <is>
          <t>假设初始化</t>
        </is>
      </c>
      <c r="I40" t="inlineStr">
        <is>
          <t>销售编制（人）</t>
        </is>
      </c>
    </row>
    <row r="41">
      <c r="A41" t="inlineStr">
        <is>
          <t>IND</t>
        </is>
      </c>
      <c r="D41" s="12" t="n">
        <v>2023</v>
      </c>
      <c r="E41" t="inlineStr">
        <is>
          <t>ACTUAL</t>
        </is>
      </c>
      <c r="F41" s="5" t="inlineStr">
        <is>
          <t>salary_sales</t>
        </is>
      </c>
      <c r="G41" s="13" t="n">
        <v>60</v>
      </c>
      <c r="H41" t="inlineStr">
        <is>
          <t>假设初始化</t>
        </is>
      </c>
      <c r="I41" t="inlineStr">
        <is>
          <t>销售人均全成本（万/年）</t>
        </is>
      </c>
    </row>
    <row r="42">
      <c r="A42" t="inlineStr">
        <is>
          <t>IND</t>
        </is>
      </c>
      <c r="D42" s="12" t="n">
        <v>2023</v>
      </c>
      <c r="E42" t="inlineStr">
        <is>
          <t>ACTUAL</t>
        </is>
      </c>
      <c r="F42" s="5" t="inlineStr">
        <is>
          <t>headcount_gna</t>
        </is>
      </c>
      <c r="G42" s="13" t="n">
        <v>15</v>
      </c>
      <c r="H42" t="inlineStr">
        <is>
          <t>假设初始化</t>
        </is>
      </c>
      <c r="I42" t="inlineStr">
        <is>
          <t>管理编制（人）</t>
        </is>
      </c>
    </row>
    <row r="43">
      <c r="A43" t="inlineStr">
        <is>
          <t>IND</t>
        </is>
      </c>
      <c r="D43" s="12" t="n">
        <v>2023</v>
      </c>
      <c r="E43" t="inlineStr">
        <is>
          <t>ACTUAL</t>
        </is>
      </c>
      <c r="F43" s="5" t="inlineStr">
        <is>
          <t>salary_gna</t>
        </is>
      </c>
      <c r="G43" s="13" t="n">
        <v>55</v>
      </c>
      <c r="H43" t="inlineStr">
        <is>
          <t>假设初始化</t>
        </is>
      </c>
      <c r="I43" t="inlineStr">
        <is>
          <t>管理人均全成本（万/年）</t>
        </is>
      </c>
    </row>
    <row r="44">
      <c r="A44" t="inlineStr">
        <is>
          <t>TOC</t>
        </is>
      </c>
      <c r="D44" s="12" t="n">
        <v>2023</v>
      </c>
      <c r="E44" t="inlineStr">
        <is>
          <t>ACTUAL</t>
        </is>
      </c>
      <c r="F44" s="5" t="inlineStr">
        <is>
          <t>headcount_rd</t>
        </is>
      </c>
      <c r="G44" s="13" t="n">
        <v>80</v>
      </c>
      <c r="H44" t="inlineStr">
        <is>
          <t>假设初始化</t>
        </is>
      </c>
      <c r="I44" t="inlineStr">
        <is>
          <t>研发编制（人）</t>
        </is>
      </c>
    </row>
    <row r="45">
      <c r="A45" t="inlineStr">
        <is>
          <t>TOC</t>
        </is>
      </c>
      <c r="D45" s="12" t="n">
        <v>2023</v>
      </c>
      <c r="E45" t="inlineStr">
        <is>
          <t>ACTUAL</t>
        </is>
      </c>
      <c r="F45" s="5" t="inlineStr">
        <is>
          <t>salary_rd</t>
        </is>
      </c>
      <c r="G45" s="13" t="n">
        <v>70</v>
      </c>
      <c r="H45" t="inlineStr">
        <is>
          <t>假设初始化</t>
        </is>
      </c>
      <c r="I45" t="inlineStr">
        <is>
          <t>研发人均全成本（万/年）</t>
        </is>
      </c>
    </row>
    <row r="46">
      <c r="A46" t="inlineStr">
        <is>
          <t>TOC</t>
        </is>
      </c>
      <c r="D46" s="12" t="n">
        <v>2023</v>
      </c>
      <c r="E46" t="inlineStr">
        <is>
          <t>ACTUAL</t>
        </is>
      </c>
      <c r="F46" s="5" t="inlineStr">
        <is>
          <t>headcount_sales</t>
        </is>
      </c>
      <c r="G46" s="13" t="n">
        <v>10</v>
      </c>
      <c r="H46" t="inlineStr">
        <is>
          <t>假设初始化</t>
        </is>
      </c>
      <c r="I46" t="inlineStr">
        <is>
          <t>销售编制（人）</t>
        </is>
      </c>
    </row>
    <row r="47">
      <c r="A47" t="inlineStr">
        <is>
          <t>TOC</t>
        </is>
      </c>
      <c r="D47" s="12" t="n">
        <v>2023</v>
      </c>
      <c r="E47" t="inlineStr">
        <is>
          <t>ACTUAL</t>
        </is>
      </c>
      <c r="F47" s="5" t="inlineStr">
        <is>
          <t>salary_sales</t>
        </is>
      </c>
      <c r="G47" s="13" t="n">
        <v>55</v>
      </c>
      <c r="H47" t="inlineStr">
        <is>
          <t>假设初始化</t>
        </is>
      </c>
      <c r="I47" t="inlineStr">
        <is>
          <t>销售人均全成本（万/年）</t>
        </is>
      </c>
    </row>
    <row r="48">
      <c r="A48" t="inlineStr">
        <is>
          <t>TOC</t>
        </is>
      </c>
      <c r="D48" s="12" t="n">
        <v>2023</v>
      </c>
      <c r="E48" t="inlineStr">
        <is>
          <t>ACTUAL</t>
        </is>
      </c>
      <c r="F48" s="5" t="inlineStr">
        <is>
          <t>headcount_gna</t>
        </is>
      </c>
      <c r="G48" s="13" t="n">
        <v>10</v>
      </c>
      <c r="H48" t="inlineStr">
        <is>
          <t>假设初始化</t>
        </is>
      </c>
      <c r="I48" t="inlineStr">
        <is>
          <t>管理编制（人）</t>
        </is>
      </c>
    </row>
    <row r="49">
      <c r="A49" t="inlineStr">
        <is>
          <t>TOC</t>
        </is>
      </c>
      <c r="D49" s="12" t="n">
        <v>2023</v>
      </c>
      <c r="E49" t="inlineStr">
        <is>
          <t>ACTUAL</t>
        </is>
      </c>
      <c r="F49" s="5" t="inlineStr">
        <is>
          <t>salary_gna</t>
        </is>
      </c>
      <c r="G49" s="13" t="n">
        <v>55</v>
      </c>
      <c r="H49" t="inlineStr">
        <is>
          <t>假设初始化</t>
        </is>
      </c>
      <c r="I49" t="inlineStr">
        <is>
          <t>管理人均全成本（万/年）</t>
        </is>
      </c>
    </row>
    <row r="50">
      <c r="A50" t="inlineStr">
        <is>
          <t>HOLD</t>
        </is>
      </c>
      <c r="D50" s="12" t="n">
        <v>2023</v>
      </c>
      <c r="E50" t="inlineStr">
        <is>
          <t>ACTUAL</t>
        </is>
      </c>
      <c r="F50" s="5" t="inlineStr">
        <is>
          <t>headcount_rd</t>
        </is>
      </c>
      <c r="G50" s="13" t="n">
        <v>300</v>
      </c>
      <c r="H50" t="inlineStr">
        <is>
          <t>假设初始化</t>
        </is>
      </c>
      <c r="I50" t="inlineStr">
        <is>
          <t>研发编制（人）</t>
        </is>
      </c>
    </row>
    <row r="51">
      <c r="A51" t="inlineStr">
        <is>
          <t>HOLD</t>
        </is>
      </c>
      <c r="D51" s="12" t="n">
        <v>2023</v>
      </c>
      <c r="E51" t="inlineStr">
        <is>
          <t>ACTUAL</t>
        </is>
      </c>
      <c r="F51" s="5" t="inlineStr">
        <is>
          <t>headcount_gna</t>
        </is>
      </c>
      <c r="G51" s="13" t="n">
        <v>15</v>
      </c>
      <c r="H51" t="inlineStr">
        <is>
          <t>假设初始化</t>
        </is>
      </c>
      <c r="I51" t="inlineStr">
        <is>
          <t>管理编制（人）</t>
        </is>
      </c>
    </row>
    <row r="52">
      <c r="A52" t="inlineStr">
        <is>
          <t>HOLD</t>
        </is>
      </c>
      <c r="D52" s="12" t="n">
        <v>2023</v>
      </c>
      <c r="E52" t="inlineStr">
        <is>
          <t>ACTUAL</t>
        </is>
      </c>
      <c r="F52" s="5" t="inlineStr">
        <is>
          <t>salary_gna</t>
        </is>
      </c>
      <c r="G52" s="13" t="n">
        <v>55</v>
      </c>
      <c r="H52" t="inlineStr">
        <is>
          <t>假设初始化</t>
        </is>
      </c>
      <c r="I52" t="inlineStr">
        <is>
          <t>管理人均全成本（万/年）</t>
        </is>
      </c>
    </row>
    <row r="53">
      <c r="A53" t="inlineStr">
        <is>
          <t>HOLD</t>
        </is>
      </c>
      <c r="D53" s="12" t="n">
        <v>2023</v>
      </c>
      <c r="E53" t="inlineStr">
        <is>
          <t>ACTUAL</t>
        </is>
      </c>
      <c r="F53" s="5" t="inlineStr">
        <is>
          <t>other_rd</t>
        </is>
      </c>
      <c r="G53" s="13" t="n">
        <v>3000</v>
      </c>
      <c r="H53" t="inlineStr">
        <is>
          <t>假设初始化</t>
        </is>
      </c>
      <c r="I53" t="inlineStr">
        <is>
          <t>其他研发费用（万）</t>
        </is>
      </c>
    </row>
    <row r="54">
      <c r="A54" t="inlineStr">
        <is>
          <t>HOLD</t>
        </is>
      </c>
      <c r="D54" s="12" t="n">
        <v>2023</v>
      </c>
      <c r="E54" t="inlineStr">
        <is>
          <t>ACTUAL</t>
        </is>
      </c>
      <c r="F54" s="5" t="inlineStr">
        <is>
          <t>hold_salary</t>
        </is>
      </c>
      <c r="G54" s="13" t="n">
        <v>75</v>
      </c>
      <c r="H54" t="inlineStr">
        <is>
          <t>假设初始化</t>
        </is>
      </c>
      <c r="I54" t="inlineStr">
        <is>
          <t>研究院研发人均全成本（万）</t>
        </is>
      </c>
    </row>
    <row r="55">
      <c r="A55" t="inlineStr">
        <is>
          <t>CLOUD</t>
        </is>
      </c>
      <c r="D55" s="12" t="n">
        <v>2023</v>
      </c>
      <c r="E55" t="inlineStr">
        <is>
          <t>ACTUAL</t>
        </is>
      </c>
      <c r="F55" s="5" t="inlineStr">
        <is>
          <t>t1_rate</t>
        </is>
      </c>
      <c r="G55" s="13" t="n">
        <v>0.12</v>
      </c>
      <c r="H55" t="inlineStr">
        <is>
          <t>假设初始化</t>
        </is>
      </c>
      <c r="I55" t="inlineStr">
        <is>
          <t>T1 license 费率</t>
        </is>
      </c>
    </row>
    <row r="56">
      <c r="A56" t="inlineStr">
        <is>
          <t>IND</t>
        </is>
      </c>
      <c r="D56" s="12" t="n">
        <v>2023</v>
      </c>
      <c r="E56" t="inlineStr">
        <is>
          <t>ACTUAL</t>
        </is>
      </c>
      <c r="F56" s="5" t="inlineStr">
        <is>
          <t>t1_rate</t>
        </is>
      </c>
      <c r="G56" s="13" t="n">
        <v>0.08</v>
      </c>
      <c r="H56" t="inlineStr">
        <is>
          <t>假设初始化</t>
        </is>
      </c>
      <c r="I56" t="inlineStr">
        <is>
          <t>T1 license 费率</t>
        </is>
      </c>
    </row>
    <row r="57">
      <c r="A57" t="inlineStr">
        <is>
          <t>TOC</t>
        </is>
      </c>
      <c r="D57" s="12" t="n">
        <v>2023</v>
      </c>
      <c r="E57" t="inlineStr">
        <is>
          <t>ACTUAL</t>
        </is>
      </c>
      <c r="F57" s="5" t="inlineStr">
        <is>
          <t>t1_rate</t>
        </is>
      </c>
      <c r="G57" s="13" t="n">
        <v>0.1</v>
      </c>
      <c r="H57" t="inlineStr">
        <is>
          <t>假设初始化</t>
        </is>
      </c>
      <c r="I57" t="inlineStr">
        <is>
          <t>T1 license 费率</t>
        </is>
      </c>
    </row>
    <row r="58">
      <c r="A58" t="inlineStr">
        <is>
          <t>HOLD</t>
        </is>
      </c>
      <c r="D58" s="12" t="n">
        <v>2023</v>
      </c>
      <c r="E58" t="inlineStr">
        <is>
          <t>ACTUAL</t>
        </is>
      </c>
      <c r="F58" s="5" t="inlineStr">
        <is>
          <t>t2_fee</t>
        </is>
      </c>
      <c r="G58" s="13" t="n">
        <v>2000</v>
      </c>
      <c r="H58" t="inlineStr">
        <is>
          <t>假设初始化</t>
        </is>
      </c>
      <c r="I58" t="inlineStr">
        <is>
          <t>T2 定制研发服务费（万）</t>
        </is>
      </c>
    </row>
    <row r="59">
      <c r="A59" t="inlineStr">
        <is>
          <t>GROUP</t>
        </is>
      </c>
      <c r="D59" s="12" t="n">
        <v>2023</v>
      </c>
      <c r="E59" t="inlineStr">
        <is>
          <t>ACTUAL</t>
        </is>
      </c>
      <c r="F59" s="5" t="inlineStr">
        <is>
          <t>t3_share</t>
        </is>
      </c>
      <c r="G59" s="13" t="n">
        <v>0.7</v>
      </c>
      <c r="H59" t="inlineStr">
        <is>
          <t>假设初始化</t>
        </is>
      </c>
      <c r="I59" t="inlineStr">
        <is>
          <t>T3 算力结算占比</t>
        </is>
      </c>
    </row>
    <row r="60">
      <c r="A60" t="inlineStr">
        <is>
          <t>GROUP</t>
        </is>
      </c>
      <c r="D60" s="12" t="n">
        <v>2023</v>
      </c>
      <c r="E60" t="inlineStr">
        <is>
          <t>ACTUAL</t>
        </is>
      </c>
      <c r="F60" s="5" t="inlineStr">
        <is>
          <t>t3_gm</t>
        </is>
      </c>
      <c r="G60" s="13" t="n">
        <v>0.45</v>
      </c>
      <c r="H60" t="inlineStr">
        <is>
          <t>假设初始化</t>
        </is>
      </c>
      <c r="I60" t="inlineStr">
        <is>
          <t>T3 云内部毛利率</t>
        </is>
      </c>
    </row>
    <row r="61">
      <c r="A61" t="inlineStr">
        <is>
          <t>GROUP</t>
        </is>
      </c>
      <c r="D61" s="12" t="n">
        <v>2023</v>
      </c>
      <c r="E61" t="inlineStr">
        <is>
          <t>ACTUAL</t>
        </is>
      </c>
      <c r="F61" s="5" t="inlineStr">
        <is>
          <t>cutoff_2027</t>
        </is>
      </c>
      <c r="G61" s="13" t="n">
        <v>220</v>
      </c>
      <c r="H61" t="inlineStr">
        <is>
          <t>假设初始化</t>
        </is>
      </c>
      <c r="I61" t="inlineStr">
        <is>
          <t>cut-off 在途（万）</t>
        </is>
      </c>
    </row>
    <row r="62">
      <c r="A62" t="inlineStr">
        <is>
          <t>HOLD</t>
        </is>
      </c>
      <c r="D62" s="12" t="n">
        <v>2023</v>
      </c>
      <c r="E62" t="inlineStr">
        <is>
          <t>ACTUAL</t>
        </is>
      </c>
      <c r="F62" s="5" t="inlineStr">
        <is>
          <t>equity_inject</t>
        </is>
      </c>
      <c r="G62" s="13" t="n">
        <v>55000</v>
      </c>
      <c r="H62" t="inlineStr">
        <is>
          <t>假设初始化</t>
        </is>
      </c>
      <c r="I62" t="inlineStr">
        <is>
          <t>当年新增注资（万）</t>
        </is>
      </c>
    </row>
    <row r="63">
      <c r="A63" t="inlineStr">
        <is>
          <t>CLOUD</t>
        </is>
      </c>
      <c r="D63" s="12" t="n">
        <v>2023</v>
      </c>
      <c r="E63" t="inlineStr">
        <is>
          <t>ACTUAL</t>
        </is>
      </c>
      <c r="F63" s="5" t="inlineStr">
        <is>
          <t>equity_inject</t>
        </is>
      </c>
      <c r="G63" s="13" t="n">
        <v>14000</v>
      </c>
      <c r="H63" t="inlineStr">
        <is>
          <t>假设初始化</t>
        </is>
      </c>
      <c r="I63" t="inlineStr">
        <is>
          <t>当年新增注资（万）</t>
        </is>
      </c>
    </row>
    <row r="64">
      <c r="A64" t="inlineStr">
        <is>
          <t>IND</t>
        </is>
      </c>
      <c r="D64" s="12" t="n">
        <v>2023</v>
      </c>
      <c r="E64" t="inlineStr">
        <is>
          <t>ACTUAL</t>
        </is>
      </c>
      <c r="F64" s="5" t="inlineStr">
        <is>
          <t>equity_inject</t>
        </is>
      </c>
      <c r="G64" s="13" t="n">
        <v>10000</v>
      </c>
      <c r="H64" t="inlineStr">
        <is>
          <t>假设初始化</t>
        </is>
      </c>
      <c r="I64" t="inlineStr">
        <is>
          <t>当年新增注资（万）</t>
        </is>
      </c>
    </row>
    <row r="65">
      <c r="A65" t="inlineStr">
        <is>
          <t>TOC</t>
        </is>
      </c>
      <c r="D65" s="12" t="n">
        <v>2023</v>
      </c>
      <c r="E65" t="inlineStr">
        <is>
          <t>ACTUAL</t>
        </is>
      </c>
      <c r="F65" s="5" t="inlineStr">
        <is>
          <t>equity_inject</t>
        </is>
      </c>
      <c r="G65" s="13" t="n">
        <v>8000</v>
      </c>
      <c r="H65" t="inlineStr">
        <is>
          <t>假设初始化</t>
        </is>
      </c>
      <c r="I65" t="inlineStr">
        <is>
          <t>当年新增注资（万）</t>
        </is>
      </c>
    </row>
    <row r="66">
      <c r="A66" t="inlineStr">
        <is>
          <t>HOLD</t>
        </is>
      </c>
      <c r="D66" s="12" t="n">
        <v>2023</v>
      </c>
      <c r="E66" t="inlineStr">
        <is>
          <t>ACTUAL</t>
        </is>
      </c>
      <c r="F66" s="5" t="inlineStr">
        <is>
          <t>open_re</t>
        </is>
      </c>
      <c r="G66" s="13" t="n">
        <v>-15000</v>
      </c>
      <c r="H66" t="inlineStr">
        <is>
          <t>假设初始化</t>
        </is>
      </c>
      <c r="I66" t="inlineStr">
        <is>
          <t>仅2023期初有效</t>
        </is>
      </c>
    </row>
    <row r="67">
      <c r="A67" t="inlineStr">
        <is>
          <t>HOLD</t>
        </is>
      </c>
      <c r="D67" s="12" t="n">
        <v>2023</v>
      </c>
      <c r="E67" t="inlineStr">
        <is>
          <t>ACTUAL</t>
        </is>
      </c>
      <c r="F67" s="5" t="inlineStr">
        <is>
          <t>open_pi</t>
        </is>
      </c>
      <c r="G67" s="13" t="n">
        <v>120000</v>
      </c>
      <c r="H67" t="inlineStr">
        <is>
          <t>假设初始化</t>
        </is>
      </c>
      <c r="I67" t="inlineStr">
        <is>
          <t>仅2023期初有效</t>
        </is>
      </c>
    </row>
    <row r="68">
      <c r="A68" t="inlineStr">
        <is>
          <t>CLOUD</t>
        </is>
      </c>
      <c r="D68" s="12" t="n">
        <v>2023</v>
      </c>
      <c r="E68" t="inlineStr">
        <is>
          <t>ACTUAL</t>
        </is>
      </c>
      <c r="F68" s="5" t="inlineStr">
        <is>
          <t>open_re</t>
        </is>
      </c>
      <c r="G68" s="13" t="n">
        <v>-8000</v>
      </c>
      <c r="H68" t="inlineStr">
        <is>
          <t>假设初始化</t>
        </is>
      </c>
      <c r="I68" t="inlineStr">
        <is>
          <t>仅2023期初有效</t>
        </is>
      </c>
    </row>
    <row r="69">
      <c r="A69" t="inlineStr">
        <is>
          <t>CLOUD</t>
        </is>
      </c>
      <c r="D69" s="12" t="n">
        <v>2023</v>
      </c>
      <c r="E69" t="inlineStr">
        <is>
          <t>ACTUAL</t>
        </is>
      </c>
      <c r="F69" s="5" t="inlineStr">
        <is>
          <t>open_pi</t>
        </is>
      </c>
      <c r="G69" s="13" t="n">
        <v>33000</v>
      </c>
      <c r="H69" t="inlineStr">
        <is>
          <t>假设初始化</t>
        </is>
      </c>
      <c r="I69" t="inlineStr">
        <is>
          <t>仅2023期初有效</t>
        </is>
      </c>
    </row>
    <row r="70">
      <c r="A70" t="inlineStr">
        <is>
          <t>IND</t>
        </is>
      </c>
      <c r="D70" s="12" t="n">
        <v>2023</v>
      </c>
      <c r="E70" t="inlineStr">
        <is>
          <t>ACTUAL</t>
        </is>
      </c>
      <c r="F70" s="5" t="inlineStr">
        <is>
          <t>open_re</t>
        </is>
      </c>
      <c r="G70" s="13" t="n">
        <v>-4000</v>
      </c>
      <c r="H70" t="inlineStr">
        <is>
          <t>假设初始化</t>
        </is>
      </c>
      <c r="I70" t="inlineStr">
        <is>
          <t>仅2023期初有效</t>
        </is>
      </c>
    </row>
    <row r="71">
      <c r="A71" t="inlineStr">
        <is>
          <t>IND</t>
        </is>
      </c>
      <c r="D71" s="12" t="n">
        <v>2023</v>
      </c>
      <c r="E71" t="inlineStr">
        <is>
          <t>ACTUAL</t>
        </is>
      </c>
      <c r="F71" s="5" t="inlineStr">
        <is>
          <t>open_pi</t>
        </is>
      </c>
      <c r="G71" s="13" t="n">
        <v>18000</v>
      </c>
      <c r="H71" t="inlineStr">
        <is>
          <t>假设初始化</t>
        </is>
      </c>
      <c r="I71" t="inlineStr">
        <is>
          <t>仅2023期初有效</t>
        </is>
      </c>
    </row>
    <row r="72">
      <c r="A72" t="inlineStr">
        <is>
          <t>TOC</t>
        </is>
      </c>
      <c r="D72" s="12" t="n">
        <v>2023</v>
      </c>
      <c r="E72" t="inlineStr">
        <is>
          <t>ACTUAL</t>
        </is>
      </c>
      <c r="F72" s="5" t="inlineStr">
        <is>
          <t>open_re</t>
        </is>
      </c>
      <c r="G72" s="13" t="n">
        <v>-3000</v>
      </c>
      <c r="H72" t="inlineStr">
        <is>
          <t>假设初始化</t>
        </is>
      </c>
      <c r="I72" t="inlineStr">
        <is>
          <t>仅2023期初有效</t>
        </is>
      </c>
    </row>
    <row r="73">
      <c r="A73" t="inlineStr">
        <is>
          <t>TOC</t>
        </is>
      </c>
      <c r="D73" s="12" t="n">
        <v>2023</v>
      </c>
      <c r="E73" t="inlineStr">
        <is>
          <t>ACTUAL</t>
        </is>
      </c>
      <c r="F73" s="5" t="inlineStr">
        <is>
          <t>open_pi</t>
        </is>
      </c>
      <c r="G73" s="13" t="n">
        <v>10000</v>
      </c>
      <c r="H73" t="inlineStr">
        <is>
          <t>假设初始化</t>
        </is>
      </c>
      <c r="I73" t="inlineStr">
        <is>
          <t>仅2023期初有效</t>
        </is>
      </c>
    </row>
    <row r="74">
      <c r="A74" t="inlineStr">
        <is>
          <t>HOLD</t>
        </is>
      </c>
      <c r="D74" s="12" t="n">
        <v>2023</v>
      </c>
      <c r="E74" t="inlineStr">
        <is>
          <t>ACTUAL</t>
        </is>
      </c>
      <c r="F74" s="5" t="inlineStr">
        <is>
          <t>open_fa</t>
        </is>
      </c>
      <c r="G74" s="13" t="n">
        <v>45000</v>
      </c>
      <c r="H74" t="inlineStr">
        <is>
          <t>假设初始化</t>
        </is>
      </c>
      <c r="I74" t="inlineStr">
        <is>
          <t>训练卡</t>
        </is>
      </c>
    </row>
    <row r="75">
      <c r="A75" t="inlineStr">
        <is>
          <t>CLOUD</t>
        </is>
      </c>
      <c r="D75" s="12" t="n">
        <v>2023</v>
      </c>
      <c r="E75" t="inlineStr">
        <is>
          <t>ACTUAL</t>
        </is>
      </c>
      <c r="F75" s="5" t="inlineStr">
        <is>
          <t>open_fa</t>
        </is>
      </c>
      <c r="G75" s="13" t="n">
        <v>15000</v>
      </c>
      <c r="H75" t="inlineStr">
        <is>
          <t>假设初始化</t>
        </is>
      </c>
      <c r="I75" t="inlineStr">
        <is>
          <t>推理卡</t>
        </is>
      </c>
    </row>
    <row r="76">
      <c r="A76" t="inlineStr">
        <is>
          <t>HOLD</t>
        </is>
      </c>
      <c r="D76" s="12" t="n">
        <v>2023</v>
      </c>
      <c r="E76" t="inlineStr">
        <is>
          <t>ACTUAL</t>
        </is>
      </c>
      <c r="F76" s="5" t="inlineStr">
        <is>
          <t>open_lt_inv</t>
        </is>
      </c>
      <c r="G76" s="13" t="n">
        <v>23000</v>
      </c>
      <c r="H76" t="inlineStr">
        <is>
          <t>假设初始化</t>
        </is>
      </c>
      <c r="I76" t="inlineStr">
        <is>
          <t>期初长投合计（万）</t>
        </is>
      </c>
    </row>
    <row r="77">
      <c r="A77" t="inlineStr">
        <is>
          <t>CLOUD</t>
        </is>
      </c>
      <c r="D77" s="12" t="n">
        <v>2023</v>
      </c>
      <c r="E77" t="inlineStr">
        <is>
          <t>ACTUAL</t>
        </is>
      </c>
      <c r="F77" s="5" t="inlineStr">
        <is>
          <t>deferred_rate</t>
        </is>
      </c>
      <c r="G77" s="13" t="n">
        <v>0.05</v>
      </c>
      <c r="H77" t="inlineStr">
        <is>
          <t>假设初始化</t>
        </is>
      </c>
      <c r="I77" t="inlineStr">
        <is>
          <t>递延收入率</t>
        </is>
      </c>
    </row>
    <row r="78">
      <c r="A78" t="inlineStr">
        <is>
          <t>IND</t>
        </is>
      </c>
      <c r="D78" s="12" t="n">
        <v>2023</v>
      </c>
      <c r="E78" t="inlineStr">
        <is>
          <t>ACTUAL</t>
        </is>
      </c>
      <c r="F78" s="5" t="inlineStr">
        <is>
          <t>deferred_rate</t>
        </is>
      </c>
      <c r="G78" s="13" t="n">
        <v>0.08</v>
      </c>
      <c r="H78" t="inlineStr">
        <is>
          <t>假设初始化</t>
        </is>
      </c>
      <c r="I78" t="inlineStr">
        <is>
          <t>递延收入率</t>
        </is>
      </c>
    </row>
    <row r="79">
      <c r="A79" t="inlineStr">
        <is>
          <t>TOC</t>
        </is>
      </c>
      <c r="D79" s="12" t="n">
        <v>2023</v>
      </c>
      <c r="E79" t="inlineStr">
        <is>
          <t>ACTUAL</t>
        </is>
      </c>
      <c r="F79" s="5" t="inlineStr">
        <is>
          <t>deferred_rate</t>
        </is>
      </c>
      <c r="G79" s="13" t="n">
        <v>0.2</v>
      </c>
      <c r="H79" t="inlineStr">
        <is>
          <t>假设初始化</t>
        </is>
      </c>
      <c r="I79" t="inlineStr">
        <is>
          <t>递延收入率</t>
        </is>
      </c>
    </row>
    <row r="80">
      <c r="A80" t="inlineStr">
        <is>
          <t>HOLD</t>
        </is>
      </c>
      <c r="D80" s="12" t="n">
        <v>2023</v>
      </c>
      <c r="E80" t="inlineStr">
        <is>
          <t>ACTUAL</t>
        </is>
      </c>
      <c r="F80" s="5" t="inlineStr">
        <is>
          <t>capex_gpu</t>
        </is>
      </c>
      <c r="G80" s="13" t="n">
        <v>40000</v>
      </c>
      <c r="H80" t="inlineStr">
        <is>
          <t>假设初始化</t>
        </is>
      </c>
      <c r="I80" t="inlineStr">
        <is>
          <t>训练卡</t>
        </is>
      </c>
    </row>
    <row r="81">
      <c r="A81" t="inlineStr">
        <is>
          <t>CLOUD</t>
        </is>
      </c>
      <c r="D81" s="12" t="n">
        <v>2023</v>
      </c>
      <c r="E81" t="inlineStr">
        <is>
          <t>ACTUAL</t>
        </is>
      </c>
      <c r="F81" s="5" t="inlineStr">
        <is>
          <t>capex_gpu</t>
        </is>
      </c>
      <c r="G81" s="13" t="n">
        <v>20000</v>
      </c>
      <c r="H81" t="inlineStr">
        <is>
          <t>假设初始化</t>
        </is>
      </c>
      <c r="I81" t="inlineStr">
        <is>
          <t>推理卡</t>
        </is>
      </c>
    </row>
    <row r="82">
      <c r="A82" t="inlineStr">
        <is>
          <t>GROUP</t>
        </is>
      </c>
      <c r="D82" s="12" t="n">
        <v>2024</v>
      </c>
      <c r="E82" t="inlineStr">
        <is>
          <t>ACTUAL</t>
        </is>
      </c>
      <c r="F82" s="5" t="inlineStr">
        <is>
          <t>tax_rate</t>
        </is>
      </c>
      <c r="G82" s="13" t="n">
        <v>0.15</v>
      </c>
      <c r="H82" t="inlineStr">
        <is>
          <t>假设初始化</t>
        </is>
      </c>
      <c r="I82" t="inlineStr">
        <is>
          <t>所得税率</t>
        </is>
      </c>
    </row>
    <row r="83">
      <c r="A83" t="inlineStr">
        <is>
          <t>GROUP</t>
        </is>
      </c>
      <c r="D83" s="12" t="n">
        <v>2024</v>
      </c>
      <c r="E83" t="inlineStr">
        <is>
          <t>ACTUAL</t>
        </is>
      </c>
      <c r="F83" s="5" t="inlineStr">
        <is>
          <t>dso_days</t>
        </is>
      </c>
      <c r="G83" s="13" t="n">
        <v>60</v>
      </c>
      <c r="H83" t="inlineStr">
        <is>
          <t>假设初始化</t>
        </is>
      </c>
      <c r="I83" t="inlineStr">
        <is>
          <t>应收账期（天）</t>
        </is>
      </c>
    </row>
    <row r="84">
      <c r="A84" t="inlineStr">
        <is>
          <t>GROUP</t>
        </is>
      </c>
      <c r="D84" s="12" t="n">
        <v>2024</v>
      </c>
      <c r="E84" t="inlineStr">
        <is>
          <t>ACTUAL</t>
        </is>
      </c>
      <c r="F84" s="5" t="inlineStr">
        <is>
          <t>dpo_days</t>
        </is>
      </c>
      <c r="G84" s="13" t="n">
        <v>45</v>
      </c>
      <c r="H84" t="inlineStr">
        <is>
          <t>假设初始化</t>
        </is>
      </c>
      <c r="I84" t="inlineStr">
        <is>
          <t>应付账期（天）</t>
        </is>
      </c>
    </row>
    <row r="85">
      <c r="A85" t="inlineStr">
        <is>
          <t>GROUP</t>
        </is>
      </c>
      <c r="D85" s="12" t="n">
        <v>2024</v>
      </c>
      <c r="E85" t="inlineStr">
        <is>
          <t>ACTUAL</t>
        </is>
      </c>
      <c r="F85" s="5" t="inlineStr">
        <is>
          <t>ic_days</t>
        </is>
      </c>
      <c r="G85" s="13" t="n">
        <v>60</v>
      </c>
      <c r="H85" t="inlineStr">
        <is>
          <t>假设初始化</t>
        </is>
      </c>
      <c r="I85" t="inlineStr">
        <is>
          <t>内部往来账期（天）</t>
        </is>
      </c>
    </row>
    <row r="86">
      <c r="A86" t="inlineStr">
        <is>
          <t>GROUP</t>
        </is>
      </c>
      <c r="D86" s="12" t="n">
        <v>2024</v>
      </c>
      <c r="E86" t="inlineStr">
        <is>
          <t>ACTUAL</t>
        </is>
      </c>
      <c r="F86" s="5" t="inlineStr">
        <is>
          <t>wacc</t>
        </is>
      </c>
      <c r="G86" s="13" t="n">
        <v>0.1</v>
      </c>
      <c r="H86" t="inlineStr">
        <is>
          <t>假设初始化</t>
        </is>
      </c>
      <c r="I86" t="inlineStr">
        <is>
          <t>WACC</t>
        </is>
      </c>
    </row>
    <row r="87">
      <c r="A87" t="inlineStr">
        <is>
          <t>GROUP</t>
        </is>
      </c>
      <c r="C87" t="inlineStr">
        <is>
          <t>华东</t>
        </is>
      </c>
      <c r="D87" s="12" t="n">
        <v>2024</v>
      </c>
      <c r="E87" t="inlineStr">
        <is>
          <t>ACTUAL</t>
        </is>
      </c>
      <c r="F87" s="5" t="inlineStr">
        <is>
          <t>region_mix</t>
        </is>
      </c>
      <c r="G87" s="13" t="n">
        <v>0.32</v>
      </c>
      <c r="H87" t="inlineStr">
        <is>
          <t>行业研究</t>
        </is>
      </c>
      <c r="I87" t="inlineStr">
        <is>
          <t>收入地区占比</t>
        </is>
      </c>
    </row>
    <row r="88">
      <c r="A88" t="inlineStr">
        <is>
          <t>GROUP</t>
        </is>
      </c>
      <c r="C88" t="inlineStr">
        <is>
          <t>华北</t>
        </is>
      </c>
      <c r="D88" s="12" t="n">
        <v>2024</v>
      </c>
      <c r="E88" t="inlineStr">
        <is>
          <t>ACTUAL</t>
        </is>
      </c>
      <c r="F88" s="5" t="inlineStr">
        <is>
          <t>region_mix</t>
        </is>
      </c>
      <c r="G88" s="13" t="n">
        <v>0.3</v>
      </c>
      <c r="H88" t="inlineStr">
        <is>
          <t>行业研究</t>
        </is>
      </c>
      <c r="I88" t="inlineStr">
        <is>
          <t>收入地区占比</t>
        </is>
      </c>
    </row>
    <row r="89">
      <c r="A89" t="inlineStr">
        <is>
          <t>GROUP</t>
        </is>
      </c>
      <c r="C89" t="inlineStr">
        <is>
          <t>华南</t>
        </is>
      </c>
      <c r="D89" s="12" t="n">
        <v>2024</v>
      </c>
      <c r="E89" t="inlineStr">
        <is>
          <t>ACTUAL</t>
        </is>
      </c>
      <c r="F89" s="5" t="inlineStr">
        <is>
          <t>region_mix</t>
        </is>
      </c>
      <c r="G89" s="13" t="n">
        <v>0.2</v>
      </c>
      <c r="H89" t="inlineStr">
        <is>
          <t>行业研究</t>
        </is>
      </c>
      <c r="I89" t="inlineStr">
        <is>
          <t>收入地区占比</t>
        </is>
      </c>
    </row>
    <row r="90">
      <c r="A90" t="inlineStr">
        <is>
          <t>GROUP</t>
        </is>
      </c>
      <c r="C90" t="inlineStr">
        <is>
          <t>海外</t>
        </is>
      </c>
      <c r="D90" s="12" t="n">
        <v>2024</v>
      </c>
      <c r="E90" t="inlineStr">
        <is>
          <t>ACTUAL</t>
        </is>
      </c>
      <c r="F90" s="5" t="inlineStr">
        <is>
          <t>region_mix</t>
        </is>
      </c>
      <c r="G90" s="13" t="n">
        <v>0.18</v>
      </c>
      <c r="H90" t="inlineStr">
        <is>
          <t>行业研究</t>
        </is>
      </c>
      <c r="I90" t="inlineStr">
        <is>
          <t>收入地区占比</t>
        </is>
      </c>
    </row>
    <row r="91">
      <c r="A91" t="inlineStr">
        <is>
          <t>CLOUD</t>
        </is>
      </c>
      <c r="D91" s="12" t="n">
        <v>2024</v>
      </c>
      <c r="E91" t="inlineStr">
        <is>
          <t>ACTUAL</t>
        </is>
      </c>
      <c r="F91" s="5" t="inlineStr">
        <is>
          <t>token_volume_day</t>
        </is>
      </c>
      <c r="G91" s="13" t="n">
        <v>200</v>
      </c>
      <c r="H91" t="inlineStr">
        <is>
          <t>假设初始化</t>
        </is>
      </c>
      <c r="I91" t="inlineStr">
        <is>
          <t>日均 token 消耗（B/day）</t>
        </is>
      </c>
    </row>
    <row r="92">
      <c r="A92" t="inlineStr">
        <is>
          <t>CLOUD</t>
        </is>
      </c>
      <c r="D92" s="12" t="n">
        <v>2024</v>
      </c>
      <c r="E92" t="inlineStr">
        <is>
          <t>ACTUAL</t>
        </is>
      </c>
      <c r="F92" s="5" t="inlineStr">
        <is>
          <t>api_price</t>
        </is>
      </c>
      <c r="G92" s="13" t="n">
        <v>5</v>
      </c>
      <c r="H92" t="inlineStr">
        <is>
          <t>假设初始化</t>
        </is>
      </c>
      <c r="I92" t="inlineStr">
        <is>
          <t>综合单价（元/M tokens）</t>
        </is>
      </c>
    </row>
    <row r="93">
      <c r="A93" t="inlineStr">
        <is>
          <t>CLOUD</t>
        </is>
      </c>
      <c r="D93" s="12" t="n">
        <v>2024</v>
      </c>
      <c r="E93" t="inlineStr">
        <is>
          <t>ACTUAL</t>
        </is>
      </c>
      <c r="F93" s="5" t="inlineStr">
        <is>
          <t>inference_ucost</t>
        </is>
      </c>
      <c r="G93" s="13" t="n">
        <v>2.35</v>
      </c>
      <c r="H93" t="inlineStr">
        <is>
          <t>假设初始化</t>
        </is>
      </c>
      <c r="I93" t="inlineStr">
        <is>
          <t>推理单位成本（元/M tok）</t>
        </is>
      </c>
    </row>
    <row r="94">
      <c r="A94" t="inlineStr">
        <is>
          <t>CLOUD</t>
        </is>
      </c>
      <c r="D94" s="12" t="n">
        <v>2024</v>
      </c>
      <c r="E94" t="inlineStr">
        <is>
          <t>ACTUAL</t>
        </is>
      </c>
      <c r="F94" s="5" t="inlineStr">
        <is>
          <t>bandwidth_fee</t>
        </is>
      </c>
      <c r="G94" s="13" t="n">
        <v>700</v>
      </c>
      <c r="H94" t="inlineStr">
        <is>
          <t>假设初始化</t>
        </is>
      </c>
      <c r="I94" t="inlineStr">
        <is>
          <t>带宽机房费用（万）</t>
        </is>
      </c>
    </row>
    <row r="95">
      <c r="A95" t="inlineStr">
        <is>
          <t>CLOUD</t>
        </is>
      </c>
      <c r="D95" s="12" t="n">
        <v>2024</v>
      </c>
      <c r="E95" t="inlineStr">
        <is>
          <t>ACTUAL</t>
        </is>
      </c>
      <c r="F95" s="5" t="inlineStr">
        <is>
          <t>customers</t>
        </is>
      </c>
      <c r="G95" s="13" t="n">
        <v>2200</v>
      </c>
      <c r="H95" t="inlineStr">
        <is>
          <t>假设初始化</t>
        </is>
      </c>
      <c r="I95" t="inlineStr">
        <is>
          <t>付费客户数（家）</t>
        </is>
      </c>
    </row>
    <row r="96">
      <c r="A96" t="inlineStr">
        <is>
          <t>CLOUD</t>
        </is>
      </c>
      <c r="D96" s="12" t="n">
        <v>2024</v>
      </c>
      <c r="E96" t="inlineStr">
        <is>
          <t>ACTUAL</t>
        </is>
      </c>
      <c r="F96" s="5" t="inlineStr">
        <is>
          <t>churn_m</t>
        </is>
      </c>
      <c r="G96" s="13" t="n">
        <v>0.012</v>
      </c>
      <c r="H96" t="inlineStr">
        <is>
          <t>假设初始化</t>
        </is>
      </c>
      <c r="I96" t="inlineStr">
        <is>
          <t>月流失率</t>
        </is>
      </c>
    </row>
    <row r="97">
      <c r="A97" t="inlineStr">
        <is>
          <t>IND</t>
        </is>
      </c>
      <c r="D97" s="12" t="n">
        <v>2024</v>
      </c>
      <c r="E97" t="inlineStr">
        <is>
          <t>ACTUAL</t>
        </is>
      </c>
      <c r="F97" s="5" t="inlineStr">
        <is>
          <t>projects_pvt</t>
        </is>
      </c>
      <c r="G97" s="13" t="n">
        <v>14</v>
      </c>
      <c r="H97" t="inlineStr">
        <is>
          <t>假设初始化</t>
        </is>
      </c>
      <c r="I97" t="inlineStr">
        <is>
          <t>私有化项目数（个）</t>
        </is>
      </c>
    </row>
    <row r="98">
      <c r="A98" t="inlineStr">
        <is>
          <t>IND</t>
        </is>
      </c>
      <c r="D98" s="12" t="n">
        <v>2024</v>
      </c>
      <c r="E98" t="inlineStr">
        <is>
          <t>ACTUAL</t>
        </is>
      </c>
      <c r="F98" s="5" t="inlineStr">
        <is>
          <t>avg_contract</t>
        </is>
      </c>
      <c r="G98" s="13" t="n">
        <v>1100</v>
      </c>
      <c r="H98" t="inlineStr">
        <is>
          <t>假设初始化</t>
        </is>
      </c>
      <c r="I98" t="inlineStr">
        <is>
          <t>平均合同额（万）</t>
        </is>
      </c>
    </row>
    <row r="99">
      <c r="A99" t="inlineStr">
        <is>
          <t>IND</t>
        </is>
      </c>
      <c r="D99" s="12" t="n">
        <v>2024</v>
      </c>
      <c r="E99" t="inlineStr">
        <is>
          <t>ACTUAL</t>
        </is>
      </c>
      <c r="F99" s="5" t="inlineStr">
        <is>
          <t>subscribers_sol</t>
        </is>
      </c>
      <c r="G99" s="13" t="n">
        <v>30</v>
      </c>
      <c r="H99" t="inlineStr">
        <is>
          <t>假设初始化</t>
        </is>
      </c>
      <c r="I99" t="inlineStr">
        <is>
          <t>解决方案签约客户（累计）</t>
        </is>
      </c>
    </row>
    <row r="100">
      <c r="A100" t="inlineStr">
        <is>
          <t>IND</t>
        </is>
      </c>
      <c r="D100" s="12" t="n">
        <v>2024</v>
      </c>
      <c r="E100" t="inlineStr">
        <is>
          <t>ACTUAL</t>
        </is>
      </c>
      <c r="F100" s="5" t="inlineStr">
        <is>
          <t>sub_fee</t>
        </is>
      </c>
      <c r="G100" s="13" t="n">
        <v>100</v>
      </c>
      <c r="H100" t="inlineStr">
        <is>
          <t>假设初始化</t>
        </is>
      </c>
      <c r="I100" t="inlineStr">
        <is>
          <t>解决方案年费（万）</t>
        </is>
      </c>
    </row>
    <row r="101">
      <c r="A101" t="inlineStr">
        <is>
          <t>IND</t>
        </is>
      </c>
      <c r="D101" s="12" t="n">
        <v>2024</v>
      </c>
      <c r="E101" t="inlineStr">
        <is>
          <t>ACTUAL</t>
        </is>
      </c>
      <c r="F101" s="5" t="inlineStr">
        <is>
          <t>cogs_rate_pvt</t>
        </is>
      </c>
      <c r="G101" s="13" t="n">
        <v>0.61</v>
      </c>
      <c r="H101" t="inlineStr">
        <is>
          <t>假设初始化</t>
        </is>
      </c>
      <c r="I101" t="inlineStr">
        <is>
          <t>私有化成本率</t>
        </is>
      </c>
    </row>
    <row r="102">
      <c r="A102" t="inlineStr">
        <is>
          <t>IND</t>
        </is>
      </c>
      <c r="D102" s="12" t="n">
        <v>2024</v>
      </c>
      <c r="E102" t="inlineStr">
        <is>
          <t>ACTUAL</t>
        </is>
      </c>
      <c r="F102" s="5" t="inlineStr">
        <is>
          <t>cogs_rate_sol</t>
        </is>
      </c>
      <c r="G102" s="13" t="n">
        <v>0.42</v>
      </c>
      <c r="H102" t="inlineStr">
        <is>
          <t>假设初始化</t>
        </is>
      </c>
      <c r="I102" t="inlineStr">
        <is>
          <t>解决方案成本率</t>
        </is>
      </c>
    </row>
    <row r="103">
      <c r="A103" t="inlineStr">
        <is>
          <t>TOC</t>
        </is>
      </c>
      <c r="D103" s="12" t="n">
        <v>2024</v>
      </c>
      <c r="E103" t="inlineStr">
        <is>
          <t>ACTUAL</t>
        </is>
      </c>
      <c r="F103" s="5" t="inlineStr">
        <is>
          <t>mau_w</t>
        </is>
      </c>
      <c r="G103" s="13" t="n">
        <v>550</v>
      </c>
      <c r="H103" t="inlineStr">
        <is>
          <t>假设初始化</t>
        </is>
      </c>
      <c r="I103" t="inlineStr">
        <is>
          <t>MAU（万人）</t>
        </is>
      </c>
    </row>
    <row r="104">
      <c r="A104" t="inlineStr">
        <is>
          <t>TOC</t>
        </is>
      </c>
      <c r="D104" s="12" t="n">
        <v>2024</v>
      </c>
      <c r="E104" t="inlineStr">
        <is>
          <t>ACTUAL</t>
        </is>
      </c>
      <c r="F104" s="5" t="inlineStr">
        <is>
          <t>pay_rate</t>
        </is>
      </c>
      <c r="G104" s="13" t="n">
        <v>0.028</v>
      </c>
      <c r="H104" t="inlineStr">
        <is>
          <t>假设初始化</t>
        </is>
      </c>
      <c r="I104" t="inlineStr">
        <is>
          <t>付费转化率</t>
        </is>
      </c>
    </row>
    <row r="105">
      <c r="A105" t="inlineStr">
        <is>
          <t>TOC</t>
        </is>
      </c>
      <c r="D105" s="12" t="n">
        <v>2024</v>
      </c>
      <c r="E105" t="inlineStr">
        <is>
          <t>ACTUAL</t>
        </is>
      </c>
      <c r="F105" s="5" t="inlineStr">
        <is>
          <t>arppu</t>
        </is>
      </c>
      <c r="G105" s="13" t="n">
        <v>28</v>
      </c>
      <c r="H105" t="inlineStr">
        <is>
          <t>假设初始化</t>
        </is>
      </c>
      <c r="I105" t="inlineStr">
        <is>
          <t>ARPPU（元/付费/月）</t>
        </is>
      </c>
    </row>
    <row r="106">
      <c r="A106" t="inlineStr">
        <is>
          <t>TOC</t>
        </is>
      </c>
      <c r="D106" s="12" t="n">
        <v>2024</v>
      </c>
      <c r="E106" t="inlineStr">
        <is>
          <t>ACTUAL</t>
        </is>
      </c>
      <c r="F106" s="5" t="inlineStr">
        <is>
          <t>ads_rev</t>
        </is>
      </c>
      <c r="G106" s="13" t="n">
        <v>800</v>
      </c>
      <c r="H106" t="inlineStr">
        <is>
          <t>假设初始化</t>
        </is>
      </c>
      <c r="I106" t="inlineStr">
        <is>
          <t>广告收入（万）</t>
        </is>
      </c>
    </row>
    <row r="107">
      <c r="A107" t="inlineStr">
        <is>
          <t>TOC</t>
        </is>
      </c>
      <c r="D107" s="12" t="n">
        <v>2024</v>
      </c>
      <c r="E107" t="inlineStr">
        <is>
          <t>ACTUAL</t>
        </is>
      </c>
      <c r="F107" s="5" t="inlineStr">
        <is>
          <t>ucost_toc</t>
        </is>
      </c>
      <c r="G107" s="13" t="n">
        <v>0.6</v>
      </c>
      <c r="H107" t="inlineStr">
        <is>
          <t>假设初始化</t>
        </is>
      </c>
      <c r="I107" t="inlineStr">
        <is>
          <t>单位推理+带宽成本（元/MAU/月）</t>
        </is>
      </c>
    </row>
    <row r="108">
      <c r="A108" t="inlineStr">
        <is>
          <t>TOC</t>
        </is>
      </c>
      <c r="D108" s="12" t="n">
        <v>2024</v>
      </c>
      <c r="E108" t="inlineStr">
        <is>
          <t>ACTUAL</t>
        </is>
      </c>
      <c r="F108" s="5" t="inlineStr">
        <is>
          <t>cac</t>
        </is>
      </c>
      <c r="G108" s="13" t="n">
        <v>10</v>
      </c>
      <c r="H108" t="inlineStr">
        <is>
          <t>投放实测</t>
        </is>
      </c>
      <c r="I108" t="inlineStr">
        <is>
          <t>获客成本（元/新增用户）</t>
        </is>
      </c>
    </row>
    <row r="109">
      <c r="A109" t="inlineStr">
        <is>
          <t>TOC</t>
        </is>
      </c>
      <c r="D109" s="12" t="n">
        <v>2024</v>
      </c>
      <c r="E109" t="inlineStr">
        <is>
          <t>ACTUAL</t>
        </is>
      </c>
      <c r="F109" s="5" t="inlineStr">
        <is>
          <t>new_user_mult</t>
        </is>
      </c>
      <c r="G109" s="13" t="n">
        <v>1.5</v>
      </c>
      <c r="H109" t="inlineStr">
        <is>
          <t>假设初始化</t>
        </is>
      </c>
      <c r="I109" t="inlineStr">
        <is>
          <t>新增用户=MAU增量×</t>
        </is>
      </c>
    </row>
    <row r="110">
      <c r="A110" t="inlineStr">
        <is>
          <t>CLOUD</t>
        </is>
      </c>
      <c r="D110" s="12" t="n">
        <v>2024</v>
      </c>
      <c r="E110" t="inlineStr">
        <is>
          <t>ACTUAL</t>
        </is>
      </c>
      <c r="F110" s="5" t="inlineStr">
        <is>
          <t>headcount_rd</t>
        </is>
      </c>
      <c r="G110" s="13" t="n">
        <v>220</v>
      </c>
      <c r="H110" t="inlineStr">
        <is>
          <t>假设初始化</t>
        </is>
      </c>
      <c r="I110" t="inlineStr">
        <is>
          <t>研发编制（人）</t>
        </is>
      </c>
    </row>
    <row r="111">
      <c r="A111" t="inlineStr">
        <is>
          <t>CLOUD</t>
        </is>
      </c>
      <c r="D111" s="12" t="n">
        <v>2024</v>
      </c>
      <c r="E111" t="inlineStr">
        <is>
          <t>ACTUAL</t>
        </is>
      </c>
      <c r="F111" s="5" t="inlineStr">
        <is>
          <t>salary_rd</t>
        </is>
      </c>
      <c r="G111" s="13" t="n">
        <v>70</v>
      </c>
      <c r="H111" t="inlineStr">
        <is>
          <t>假设初始化</t>
        </is>
      </c>
      <c r="I111" t="inlineStr">
        <is>
          <t>研发人均全成本（万/年）</t>
        </is>
      </c>
    </row>
    <row r="112">
      <c r="A112" t="inlineStr">
        <is>
          <t>CLOUD</t>
        </is>
      </c>
      <c r="D112" s="12" t="n">
        <v>2024</v>
      </c>
      <c r="E112" t="inlineStr">
        <is>
          <t>ACTUAL</t>
        </is>
      </c>
      <c r="F112" s="5" t="inlineStr">
        <is>
          <t>headcount_sales</t>
        </is>
      </c>
      <c r="G112" s="13" t="n">
        <v>55</v>
      </c>
      <c r="H112" t="inlineStr">
        <is>
          <t>假设初始化</t>
        </is>
      </c>
      <c r="I112" t="inlineStr">
        <is>
          <t>销售编制（人）</t>
        </is>
      </c>
    </row>
    <row r="113">
      <c r="A113" t="inlineStr">
        <is>
          <t>CLOUD</t>
        </is>
      </c>
      <c r="D113" s="12" t="n">
        <v>2024</v>
      </c>
      <c r="E113" t="inlineStr">
        <is>
          <t>ACTUAL</t>
        </is>
      </c>
      <c r="F113" s="5" t="inlineStr">
        <is>
          <t>salary_sales</t>
        </is>
      </c>
      <c r="G113" s="13" t="n">
        <v>60</v>
      </c>
      <c r="H113" t="inlineStr">
        <is>
          <t>假设初始化</t>
        </is>
      </c>
      <c r="I113" t="inlineStr">
        <is>
          <t>销售人均全成本（万/年）</t>
        </is>
      </c>
    </row>
    <row r="114">
      <c r="A114" t="inlineStr">
        <is>
          <t>CLOUD</t>
        </is>
      </c>
      <c r="D114" s="12" t="n">
        <v>2024</v>
      </c>
      <c r="E114" t="inlineStr">
        <is>
          <t>ACTUAL</t>
        </is>
      </c>
      <c r="F114" s="5" t="inlineStr">
        <is>
          <t>headcount_gna</t>
        </is>
      </c>
      <c r="G114" s="13" t="n">
        <v>30</v>
      </c>
      <c r="H114" t="inlineStr">
        <is>
          <t>假设初始化</t>
        </is>
      </c>
      <c r="I114" t="inlineStr">
        <is>
          <t>管理编制（人）</t>
        </is>
      </c>
    </row>
    <row r="115">
      <c r="A115" t="inlineStr">
        <is>
          <t>CLOUD</t>
        </is>
      </c>
      <c r="D115" s="12" t="n">
        <v>2024</v>
      </c>
      <c r="E115" t="inlineStr">
        <is>
          <t>ACTUAL</t>
        </is>
      </c>
      <c r="F115" s="5" t="inlineStr">
        <is>
          <t>salary_gna</t>
        </is>
      </c>
      <c r="G115" s="13" t="n">
        <v>55</v>
      </c>
      <c r="H115" t="inlineStr">
        <is>
          <t>假设初始化</t>
        </is>
      </c>
      <c r="I115" t="inlineStr">
        <is>
          <t>管理人均全成本（万/年）</t>
        </is>
      </c>
    </row>
    <row r="116">
      <c r="A116" t="inlineStr">
        <is>
          <t>IND</t>
        </is>
      </c>
      <c r="D116" s="12" t="n">
        <v>2024</v>
      </c>
      <c r="E116" t="inlineStr">
        <is>
          <t>ACTUAL</t>
        </is>
      </c>
      <c r="F116" s="5" t="inlineStr">
        <is>
          <t>headcount_rd</t>
        </is>
      </c>
      <c r="G116" s="13" t="n">
        <v>70</v>
      </c>
      <c r="H116" t="inlineStr">
        <is>
          <t>假设初始化</t>
        </is>
      </c>
      <c r="I116" t="inlineStr">
        <is>
          <t>研发编制（人）</t>
        </is>
      </c>
    </row>
    <row r="117">
      <c r="A117" t="inlineStr">
        <is>
          <t>IND</t>
        </is>
      </c>
      <c r="D117" s="12" t="n">
        <v>2024</v>
      </c>
      <c r="E117" t="inlineStr">
        <is>
          <t>ACTUAL</t>
        </is>
      </c>
      <c r="F117" s="5" t="inlineStr">
        <is>
          <t>salary_rd</t>
        </is>
      </c>
      <c r="G117" s="13" t="n">
        <v>70</v>
      </c>
      <c r="H117" t="inlineStr">
        <is>
          <t>假设初始化</t>
        </is>
      </c>
      <c r="I117" t="inlineStr">
        <is>
          <t>研发人均全成本（万/年）</t>
        </is>
      </c>
    </row>
    <row r="118">
      <c r="A118" t="inlineStr">
        <is>
          <t>IND</t>
        </is>
      </c>
      <c r="D118" s="12" t="n">
        <v>2024</v>
      </c>
      <c r="E118" t="inlineStr">
        <is>
          <t>ACTUAL</t>
        </is>
      </c>
      <c r="F118" s="5" t="inlineStr">
        <is>
          <t>headcount_sales</t>
        </is>
      </c>
      <c r="G118" s="13" t="n">
        <v>35</v>
      </c>
      <c r="H118" t="inlineStr">
        <is>
          <t>假设初始化</t>
        </is>
      </c>
      <c r="I118" t="inlineStr">
        <is>
          <t>销售编制（人）</t>
        </is>
      </c>
    </row>
    <row r="119">
      <c r="A119" t="inlineStr">
        <is>
          <t>IND</t>
        </is>
      </c>
      <c r="D119" s="12" t="n">
        <v>2024</v>
      </c>
      <c r="E119" t="inlineStr">
        <is>
          <t>ACTUAL</t>
        </is>
      </c>
      <c r="F119" s="5" t="inlineStr">
        <is>
          <t>salary_sales</t>
        </is>
      </c>
      <c r="G119" s="13" t="n">
        <v>60</v>
      </c>
      <c r="H119" t="inlineStr">
        <is>
          <t>假设初始化</t>
        </is>
      </c>
      <c r="I119" t="inlineStr">
        <is>
          <t>销售人均全成本（万/年）</t>
        </is>
      </c>
    </row>
    <row r="120">
      <c r="A120" t="inlineStr">
        <is>
          <t>IND</t>
        </is>
      </c>
      <c r="D120" s="12" t="n">
        <v>2024</v>
      </c>
      <c r="E120" t="inlineStr">
        <is>
          <t>ACTUAL</t>
        </is>
      </c>
      <c r="F120" s="5" t="inlineStr">
        <is>
          <t>headcount_gna</t>
        </is>
      </c>
      <c r="G120" s="13" t="n">
        <v>22</v>
      </c>
      <c r="H120" t="inlineStr">
        <is>
          <t>假设初始化</t>
        </is>
      </c>
      <c r="I120" t="inlineStr">
        <is>
          <t>管理编制（人）</t>
        </is>
      </c>
    </row>
    <row r="121">
      <c r="A121" t="inlineStr">
        <is>
          <t>IND</t>
        </is>
      </c>
      <c r="D121" s="12" t="n">
        <v>2024</v>
      </c>
      <c r="E121" t="inlineStr">
        <is>
          <t>ACTUAL</t>
        </is>
      </c>
      <c r="F121" s="5" t="inlineStr">
        <is>
          <t>salary_gna</t>
        </is>
      </c>
      <c r="G121" s="13" t="n">
        <v>55</v>
      </c>
      <c r="H121" t="inlineStr">
        <is>
          <t>假设初始化</t>
        </is>
      </c>
      <c r="I121" t="inlineStr">
        <is>
          <t>管理人均全成本（万/年）</t>
        </is>
      </c>
    </row>
    <row r="122">
      <c r="A122" t="inlineStr">
        <is>
          <t>TOC</t>
        </is>
      </c>
      <c r="D122" s="12" t="n">
        <v>2024</v>
      </c>
      <c r="E122" t="inlineStr">
        <is>
          <t>ACTUAL</t>
        </is>
      </c>
      <c r="F122" s="5" t="inlineStr">
        <is>
          <t>headcount_rd</t>
        </is>
      </c>
      <c r="G122" s="13" t="n">
        <v>120</v>
      </c>
      <c r="H122" t="inlineStr">
        <is>
          <t>假设初始化</t>
        </is>
      </c>
      <c r="I122" t="inlineStr">
        <is>
          <t>研发编制（人）</t>
        </is>
      </c>
    </row>
    <row r="123">
      <c r="A123" t="inlineStr">
        <is>
          <t>TOC</t>
        </is>
      </c>
      <c r="D123" s="12" t="n">
        <v>2024</v>
      </c>
      <c r="E123" t="inlineStr">
        <is>
          <t>ACTUAL</t>
        </is>
      </c>
      <c r="F123" s="5" t="inlineStr">
        <is>
          <t>salary_rd</t>
        </is>
      </c>
      <c r="G123" s="13" t="n">
        <v>70</v>
      </c>
      <c r="H123" t="inlineStr">
        <is>
          <t>假设初始化</t>
        </is>
      </c>
      <c r="I123" t="inlineStr">
        <is>
          <t>研发人均全成本（万/年）</t>
        </is>
      </c>
    </row>
    <row r="124">
      <c r="A124" t="inlineStr">
        <is>
          <t>TOC</t>
        </is>
      </c>
      <c r="D124" s="12" t="n">
        <v>2024</v>
      </c>
      <c r="E124" t="inlineStr">
        <is>
          <t>ACTUAL</t>
        </is>
      </c>
      <c r="F124" s="5" t="inlineStr">
        <is>
          <t>headcount_sales</t>
        </is>
      </c>
      <c r="G124" s="13" t="n">
        <v>15</v>
      </c>
      <c r="H124" t="inlineStr">
        <is>
          <t>假设初始化</t>
        </is>
      </c>
      <c r="I124" t="inlineStr">
        <is>
          <t>销售编制（人）</t>
        </is>
      </c>
    </row>
    <row r="125">
      <c r="A125" t="inlineStr">
        <is>
          <t>TOC</t>
        </is>
      </c>
      <c r="D125" s="12" t="n">
        <v>2024</v>
      </c>
      <c r="E125" t="inlineStr">
        <is>
          <t>ACTUAL</t>
        </is>
      </c>
      <c r="F125" s="5" t="inlineStr">
        <is>
          <t>salary_sales</t>
        </is>
      </c>
      <c r="G125" s="13" t="n">
        <v>55</v>
      </c>
      <c r="H125" t="inlineStr">
        <is>
          <t>假设初始化</t>
        </is>
      </c>
      <c r="I125" t="inlineStr">
        <is>
          <t>销售人均全成本（万/年）</t>
        </is>
      </c>
    </row>
    <row r="126">
      <c r="A126" t="inlineStr">
        <is>
          <t>TOC</t>
        </is>
      </c>
      <c r="D126" s="12" t="n">
        <v>2024</v>
      </c>
      <c r="E126" t="inlineStr">
        <is>
          <t>ACTUAL</t>
        </is>
      </c>
      <c r="F126" s="5" t="inlineStr">
        <is>
          <t>headcount_gna</t>
        </is>
      </c>
      <c r="G126" s="13" t="n">
        <v>15</v>
      </c>
      <c r="H126" t="inlineStr">
        <is>
          <t>假设初始化</t>
        </is>
      </c>
      <c r="I126" t="inlineStr">
        <is>
          <t>管理编制（人）</t>
        </is>
      </c>
    </row>
    <row r="127">
      <c r="A127" t="inlineStr">
        <is>
          <t>TOC</t>
        </is>
      </c>
      <c r="D127" s="12" t="n">
        <v>2024</v>
      </c>
      <c r="E127" t="inlineStr">
        <is>
          <t>ACTUAL</t>
        </is>
      </c>
      <c r="F127" s="5" t="inlineStr">
        <is>
          <t>salary_gna</t>
        </is>
      </c>
      <c r="G127" s="13" t="n">
        <v>55</v>
      </c>
      <c r="H127" t="inlineStr">
        <is>
          <t>假设初始化</t>
        </is>
      </c>
      <c r="I127" t="inlineStr">
        <is>
          <t>管理人均全成本（万/年）</t>
        </is>
      </c>
    </row>
    <row r="128">
      <c r="A128" t="inlineStr">
        <is>
          <t>HOLD</t>
        </is>
      </c>
      <c r="D128" s="12" t="n">
        <v>2024</v>
      </c>
      <c r="E128" t="inlineStr">
        <is>
          <t>ACTUAL</t>
        </is>
      </c>
      <c r="F128" s="5" t="inlineStr">
        <is>
          <t>headcount_rd</t>
        </is>
      </c>
      <c r="G128" s="13" t="n">
        <v>420</v>
      </c>
      <c r="H128" t="inlineStr">
        <is>
          <t>假设初始化</t>
        </is>
      </c>
      <c r="I128" t="inlineStr">
        <is>
          <t>研发编制（人）</t>
        </is>
      </c>
    </row>
    <row r="129">
      <c r="A129" t="inlineStr">
        <is>
          <t>HOLD</t>
        </is>
      </c>
      <c r="D129" s="12" t="n">
        <v>2024</v>
      </c>
      <c r="E129" t="inlineStr">
        <is>
          <t>ACTUAL</t>
        </is>
      </c>
      <c r="F129" s="5" t="inlineStr">
        <is>
          <t>headcount_gna</t>
        </is>
      </c>
      <c r="G129" s="13" t="n">
        <v>20</v>
      </c>
      <c r="H129" t="inlineStr">
        <is>
          <t>假设初始化</t>
        </is>
      </c>
      <c r="I129" t="inlineStr">
        <is>
          <t>管理编制（人）</t>
        </is>
      </c>
    </row>
    <row r="130">
      <c r="A130" t="inlineStr">
        <is>
          <t>HOLD</t>
        </is>
      </c>
      <c r="D130" s="12" t="n">
        <v>2024</v>
      </c>
      <c r="E130" t="inlineStr">
        <is>
          <t>ACTUAL</t>
        </is>
      </c>
      <c r="F130" s="5" t="inlineStr">
        <is>
          <t>salary_gna</t>
        </is>
      </c>
      <c r="G130" s="13" t="n">
        <v>55</v>
      </c>
      <c r="H130" t="inlineStr">
        <is>
          <t>假设初始化</t>
        </is>
      </c>
      <c r="I130" t="inlineStr">
        <is>
          <t>管理人均全成本（万/年）</t>
        </is>
      </c>
    </row>
    <row r="131">
      <c r="A131" t="inlineStr">
        <is>
          <t>HOLD</t>
        </is>
      </c>
      <c r="D131" s="12" t="n">
        <v>2024</v>
      </c>
      <c r="E131" t="inlineStr">
        <is>
          <t>ACTUAL</t>
        </is>
      </c>
      <c r="F131" s="5" t="inlineStr">
        <is>
          <t>other_rd</t>
        </is>
      </c>
      <c r="G131" s="13" t="n">
        <v>4000</v>
      </c>
      <c r="H131" t="inlineStr">
        <is>
          <t>假设初始化</t>
        </is>
      </c>
      <c r="I131" t="inlineStr">
        <is>
          <t>其他研发费用（万）</t>
        </is>
      </c>
    </row>
    <row r="132">
      <c r="A132" t="inlineStr">
        <is>
          <t>HOLD</t>
        </is>
      </c>
      <c r="D132" s="12" t="n">
        <v>2024</v>
      </c>
      <c r="E132" t="inlineStr">
        <is>
          <t>ACTUAL</t>
        </is>
      </c>
      <c r="F132" s="5" t="inlineStr">
        <is>
          <t>hold_salary</t>
        </is>
      </c>
      <c r="G132" s="13" t="n">
        <v>78</v>
      </c>
      <c r="H132" t="inlineStr">
        <is>
          <t>假设初始化</t>
        </is>
      </c>
      <c r="I132" t="inlineStr">
        <is>
          <t>研究院研发人均全成本（万）</t>
        </is>
      </c>
    </row>
    <row r="133">
      <c r="A133" t="inlineStr">
        <is>
          <t>CLOUD</t>
        </is>
      </c>
      <c r="D133" s="12" t="n">
        <v>2024</v>
      </c>
      <c r="E133" t="inlineStr">
        <is>
          <t>ACTUAL</t>
        </is>
      </c>
      <c r="F133" s="5" t="inlineStr">
        <is>
          <t>t1_rate</t>
        </is>
      </c>
      <c r="G133" s="13" t="n">
        <v>0.12</v>
      </c>
      <c r="H133" t="inlineStr">
        <is>
          <t>假设初始化</t>
        </is>
      </c>
      <c r="I133" t="inlineStr">
        <is>
          <t>T1 license 费率</t>
        </is>
      </c>
    </row>
    <row r="134">
      <c r="A134" t="inlineStr">
        <is>
          <t>IND</t>
        </is>
      </c>
      <c r="D134" s="12" t="n">
        <v>2024</v>
      </c>
      <c r="E134" t="inlineStr">
        <is>
          <t>ACTUAL</t>
        </is>
      </c>
      <c r="F134" s="5" t="inlineStr">
        <is>
          <t>t1_rate</t>
        </is>
      </c>
      <c r="G134" s="13" t="n">
        <v>0.08</v>
      </c>
      <c r="H134" t="inlineStr">
        <is>
          <t>假设初始化</t>
        </is>
      </c>
      <c r="I134" t="inlineStr">
        <is>
          <t>T1 license 费率</t>
        </is>
      </c>
    </row>
    <row r="135">
      <c r="A135" t="inlineStr">
        <is>
          <t>TOC</t>
        </is>
      </c>
      <c r="D135" s="12" t="n">
        <v>2024</v>
      </c>
      <c r="E135" t="inlineStr">
        <is>
          <t>ACTUAL</t>
        </is>
      </c>
      <c r="F135" s="5" t="inlineStr">
        <is>
          <t>t1_rate</t>
        </is>
      </c>
      <c r="G135" s="13" t="n">
        <v>0.1</v>
      </c>
      <c r="H135" t="inlineStr">
        <is>
          <t>假设初始化</t>
        </is>
      </c>
      <c r="I135" t="inlineStr">
        <is>
          <t>T1 license 费率</t>
        </is>
      </c>
    </row>
    <row r="136">
      <c r="A136" t="inlineStr">
        <is>
          <t>HOLD</t>
        </is>
      </c>
      <c r="D136" s="12" t="n">
        <v>2024</v>
      </c>
      <c r="E136" t="inlineStr">
        <is>
          <t>ACTUAL</t>
        </is>
      </c>
      <c r="F136" s="5" t="inlineStr">
        <is>
          <t>t2_fee</t>
        </is>
      </c>
      <c r="G136" s="13" t="n">
        <v>3500</v>
      </c>
      <c r="H136" t="inlineStr">
        <is>
          <t>假设初始化</t>
        </is>
      </c>
      <c r="I136" t="inlineStr">
        <is>
          <t>T2 定制研发服务费（万）</t>
        </is>
      </c>
    </row>
    <row r="137">
      <c r="A137" t="inlineStr">
        <is>
          <t>GROUP</t>
        </is>
      </c>
      <c r="D137" s="12" t="n">
        <v>2024</v>
      </c>
      <c r="E137" t="inlineStr">
        <is>
          <t>ACTUAL</t>
        </is>
      </c>
      <c r="F137" s="5" t="inlineStr">
        <is>
          <t>t3_share</t>
        </is>
      </c>
      <c r="G137" s="13" t="n">
        <v>0.7</v>
      </c>
      <c r="H137" t="inlineStr">
        <is>
          <t>假设初始化</t>
        </is>
      </c>
      <c r="I137" t="inlineStr">
        <is>
          <t>T3 算力结算占比</t>
        </is>
      </c>
    </row>
    <row r="138">
      <c r="A138" t="inlineStr">
        <is>
          <t>GROUP</t>
        </is>
      </c>
      <c r="D138" s="12" t="n">
        <v>2024</v>
      </c>
      <c r="E138" t="inlineStr">
        <is>
          <t>ACTUAL</t>
        </is>
      </c>
      <c r="F138" s="5" t="inlineStr">
        <is>
          <t>t3_gm</t>
        </is>
      </c>
      <c r="G138" s="13" t="n">
        <v>0.45</v>
      </c>
      <c r="H138" t="inlineStr">
        <is>
          <t>假设初始化</t>
        </is>
      </c>
      <c r="I138" t="inlineStr">
        <is>
          <t>T3 云内部毛利率</t>
        </is>
      </c>
    </row>
    <row r="139">
      <c r="A139" t="inlineStr">
        <is>
          <t>GROUP</t>
        </is>
      </c>
      <c r="D139" s="12" t="n">
        <v>2024</v>
      </c>
      <c r="E139" t="inlineStr">
        <is>
          <t>ACTUAL</t>
        </is>
      </c>
      <c r="F139" s="5" t="inlineStr">
        <is>
          <t>cutoff_2027</t>
        </is>
      </c>
      <c r="G139" s="13" t="n">
        <v>220</v>
      </c>
      <c r="H139" t="inlineStr">
        <is>
          <t>假设初始化</t>
        </is>
      </c>
      <c r="I139" t="inlineStr">
        <is>
          <t>cut-off 在途（万）</t>
        </is>
      </c>
    </row>
    <row r="140">
      <c r="A140" t="inlineStr">
        <is>
          <t>HOLD</t>
        </is>
      </c>
      <c r="D140" s="12" t="n">
        <v>2024</v>
      </c>
      <c r="E140" t="inlineStr">
        <is>
          <t>ACTUAL</t>
        </is>
      </c>
      <c r="F140" s="5" t="inlineStr">
        <is>
          <t>equity_inject</t>
        </is>
      </c>
      <c r="G140" s="13" t="n">
        <v>140000</v>
      </c>
      <c r="H140" t="inlineStr">
        <is>
          <t>假设初始化</t>
        </is>
      </c>
      <c r="I140" t="inlineStr">
        <is>
          <t>当年新增注资（万）</t>
        </is>
      </c>
    </row>
    <row r="141">
      <c r="A141" t="inlineStr">
        <is>
          <t>CLOUD</t>
        </is>
      </c>
      <c r="D141" s="12" t="n">
        <v>2024</v>
      </c>
      <c r="E141" t="inlineStr">
        <is>
          <t>ACTUAL</t>
        </is>
      </c>
      <c r="F141" s="5" t="inlineStr">
        <is>
          <t>equity_inject</t>
        </is>
      </c>
      <c r="G141" s="13" t="n">
        <v>25000</v>
      </c>
      <c r="H141" t="inlineStr">
        <is>
          <t>假设初始化</t>
        </is>
      </c>
      <c r="I141" t="inlineStr">
        <is>
          <t>当年新增注资（万）</t>
        </is>
      </c>
    </row>
    <row r="142">
      <c r="A142" t="inlineStr">
        <is>
          <t>IND</t>
        </is>
      </c>
      <c r="D142" s="12" t="n">
        <v>2024</v>
      </c>
      <c r="E142" t="inlineStr">
        <is>
          <t>ACTUAL</t>
        </is>
      </c>
      <c r="F142" s="5" t="inlineStr">
        <is>
          <t>equity_inject</t>
        </is>
      </c>
      <c r="G142" s="13" t="n">
        <v>15000</v>
      </c>
      <c r="H142" t="inlineStr">
        <is>
          <t>假设初始化</t>
        </is>
      </c>
      <c r="I142" t="inlineStr">
        <is>
          <t>当年新增注资（万）</t>
        </is>
      </c>
    </row>
    <row r="143">
      <c r="A143" t="inlineStr">
        <is>
          <t>TOC</t>
        </is>
      </c>
      <c r="D143" s="12" t="n">
        <v>2024</v>
      </c>
      <c r="E143" t="inlineStr">
        <is>
          <t>ACTUAL</t>
        </is>
      </c>
      <c r="F143" s="5" t="inlineStr">
        <is>
          <t>equity_inject</t>
        </is>
      </c>
      <c r="G143" s="13" t="n">
        <v>12000</v>
      </c>
      <c r="H143" t="inlineStr">
        <is>
          <t>假设初始化</t>
        </is>
      </c>
      <c r="I143" t="inlineStr">
        <is>
          <t>当年新增注资（万）</t>
        </is>
      </c>
    </row>
    <row r="144">
      <c r="A144" t="inlineStr">
        <is>
          <t>HOLD</t>
        </is>
      </c>
      <c r="D144" s="12" t="n">
        <v>2024</v>
      </c>
      <c r="E144" t="inlineStr">
        <is>
          <t>ACTUAL</t>
        </is>
      </c>
      <c r="F144" s="5" t="inlineStr">
        <is>
          <t>open_re</t>
        </is>
      </c>
      <c r="G144" s="13" t="n">
        <v>-15000</v>
      </c>
      <c r="H144" t="inlineStr">
        <is>
          <t>假设初始化</t>
        </is>
      </c>
      <c r="I144" t="inlineStr">
        <is>
          <t>仅2023期初有效</t>
        </is>
      </c>
    </row>
    <row r="145">
      <c r="A145" t="inlineStr">
        <is>
          <t>HOLD</t>
        </is>
      </c>
      <c r="D145" s="12" t="n">
        <v>2024</v>
      </c>
      <c r="E145" t="inlineStr">
        <is>
          <t>ACTUAL</t>
        </is>
      </c>
      <c r="F145" s="5" t="inlineStr">
        <is>
          <t>open_pi</t>
        </is>
      </c>
      <c r="G145" s="13" t="n">
        <v>120000</v>
      </c>
      <c r="H145" t="inlineStr">
        <is>
          <t>假设初始化</t>
        </is>
      </c>
      <c r="I145" t="inlineStr">
        <is>
          <t>仅2023期初有效</t>
        </is>
      </c>
    </row>
    <row r="146">
      <c r="A146" t="inlineStr">
        <is>
          <t>CLOUD</t>
        </is>
      </c>
      <c r="D146" s="12" t="n">
        <v>2024</v>
      </c>
      <c r="E146" t="inlineStr">
        <is>
          <t>ACTUAL</t>
        </is>
      </c>
      <c r="F146" s="5" t="inlineStr">
        <is>
          <t>open_re</t>
        </is>
      </c>
      <c r="G146" s="13" t="n">
        <v>-8000</v>
      </c>
      <c r="H146" t="inlineStr">
        <is>
          <t>假设初始化</t>
        </is>
      </c>
      <c r="I146" t="inlineStr">
        <is>
          <t>仅2023期初有效</t>
        </is>
      </c>
    </row>
    <row r="147">
      <c r="A147" t="inlineStr">
        <is>
          <t>CLOUD</t>
        </is>
      </c>
      <c r="D147" s="12" t="n">
        <v>2024</v>
      </c>
      <c r="E147" t="inlineStr">
        <is>
          <t>ACTUAL</t>
        </is>
      </c>
      <c r="F147" s="5" t="inlineStr">
        <is>
          <t>open_pi</t>
        </is>
      </c>
      <c r="G147" s="13" t="n">
        <v>33000</v>
      </c>
      <c r="H147" t="inlineStr">
        <is>
          <t>假设初始化</t>
        </is>
      </c>
      <c r="I147" t="inlineStr">
        <is>
          <t>仅2023期初有效</t>
        </is>
      </c>
    </row>
    <row r="148">
      <c r="A148" t="inlineStr">
        <is>
          <t>IND</t>
        </is>
      </c>
      <c r="D148" s="12" t="n">
        <v>2024</v>
      </c>
      <c r="E148" t="inlineStr">
        <is>
          <t>ACTUAL</t>
        </is>
      </c>
      <c r="F148" s="5" t="inlineStr">
        <is>
          <t>open_re</t>
        </is>
      </c>
      <c r="G148" s="13" t="n">
        <v>-4000</v>
      </c>
      <c r="H148" t="inlineStr">
        <is>
          <t>假设初始化</t>
        </is>
      </c>
      <c r="I148" t="inlineStr">
        <is>
          <t>仅2023期初有效</t>
        </is>
      </c>
    </row>
    <row r="149">
      <c r="A149" t="inlineStr">
        <is>
          <t>IND</t>
        </is>
      </c>
      <c r="D149" s="12" t="n">
        <v>2024</v>
      </c>
      <c r="E149" t="inlineStr">
        <is>
          <t>ACTUAL</t>
        </is>
      </c>
      <c r="F149" s="5" t="inlineStr">
        <is>
          <t>open_pi</t>
        </is>
      </c>
      <c r="G149" s="13" t="n">
        <v>18000</v>
      </c>
      <c r="H149" t="inlineStr">
        <is>
          <t>假设初始化</t>
        </is>
      </c>
      <c r="I149" t="inlineStr">
        <is>
          <t>仅2023期初有效</t>
        </is>
      </c>
    </row>
    <row r="150">
      <c r="A150" t="inlineStr">
        <is>
          <t>TOC</t>
        </is>
      </c>
      <c r="D150" s="12" t="n">
        <v>2024</v>
      </c>
      <c r="E150" t="inlineStr">
        <is>
          <t>ACTUAL</t>
        </is>
      </c>
      <c r="F150" s="5" t="inlineStr">
        <is>
          <t>open_re</t>
        </is>
      </c>
      <c r="G150" s="13" t="n">
        <v>-3000</v>
      </c>
      <c r="H150" t="inlineStr">
        <is>
          <t>假设初始化</t>
        </is>
      </c>
      <c r="I150" t="inlineStr">
        <is>
          <t>仅2023期初有效</t>
        </is>
      </c>
    </row>
    <row r="151">
      <c r="A151" t="inlineStr">
        <is>
          <t>TOC</t>
        </is>
      </c>
      <c r="D151" s="12" t="n">
        <v>2024</v>
      </c>
      <c r="E151" t="inlineStr">
        <is>
          <t>ACTUAL</t>
        </is>
      </c>
      <c r="F151" s="5" t="inlineStr">
        <is>
          <t>open_pi</t>
        </is>
      </c>
      <c r="G151" s="13" t="n">
        <v>10000</v>
      </c>
      <c r="H151" t="inlineStr">
        <is>
          <t>假设初始化</t>
        </is>
      </c>
      <c r="I151" t="inlineStr">
        <is>
          <t>仅2023期初有效</t>
        </is>
      </c>
    </row>
    <row r="152">
      <c r="A152" t="inlineStr">
        <is>
          <t>HOLD</t>
        </is>
      </c>
      <c r="D152" s="12" t="n">
        <v>2024</v>
      </c>
      <c r="E152" t="inlineStr">
        <is>
          <t>ACTUAL</t>
        </is>
      </c>
      <c r="F152" s="5" t="inlineStr">
        <is>
          <t>open_fa</t>
        </is>
      </c>
      <c r="G152" s="13" t="n">
        <v>45000</v>
      </c>
      <c r="H152" t="inlineStr">
        <is>
          <t>假设初始化</t>
        </is>
      </c>
      <c r="I152" t="inlineStr">
        <is>
          <t>训练卡</t>
        </is>
      </c>
    </row>
    <row r="153">
      <c r="A153" t="inlineStr">
        <is>
          <t>CLOUD</t>
        </is>
      </c>
      <c r="D153" s="12" t="n">
        <v>2024</v>
      </c>
      <c r="E153" t="inlineStr">
        <is>
          <t>ACTUAL</t>
        </is>
      </c>
      <c r="F153" s="5" t="inlineStr">
        <is>
          <t>open_fa</t>
        </is>
      </c>
      <c r="G153" s="13" t="n">
        <v>15000</v>
      </c>
      <c r="H153" t="inlineStr">
        <is>
          <t>假设初始化</t>
        </is>
      </c>
      <c r="I153" t="inlineStr">
        <is>
          <t>推理卡</t>
        </is>
      </c>
    </row>
    <row r="154">
      <c r="A154" t="inlineStr">
        <is>
          <t>HOLD</t>
        </is>
      </c>
      <c r="D154" s="12" t="n">
        <v>2024</v>
      </c>
      <c r="E154" t="inlineStr">
        <is>
          <t>ACTUAL</t>
        </is>
      </c>
      <c r="F154" s="5" t="inlineStr">
        <is>
          <t>open_lt_inv</t>
        </is>
      </c>
      <c r="G154" s="13" t="n">
        <v>23000</v>
      </c>
      <c r="H154" t="inlineStr">
        <is>
          <t>假设初始化</t>
        </is>
      </c>
      <c r="I154" t="inlineStr">
        <is>
          <t>期初长投合计（万）</t>
        </is>
      </c>
    </row>
    <row r="155">
      <c r="A155" t="inlineStr">
        <is>
          <t>CLOUD</t>
        </is>
      </c>
      <c r="D155" s="12" t="n">
        <v>2024</v>
      </c>
      <c r="E155" t="inlineStr">
        <is>
          <t>ACTUAL</t>
        </is>
      </c>
      <c r="F155" s="5" t="inlineStr">
        <is>
          <t>deferred_rate</t>
        </is>
      </c>
      <c r="G155" s="13" t="n">
        <v>0.05</v>
      </c>
      <c r="H155" t="inlineStr">
        <is>
          <t>假设初始化</t>
        </is>
      </c>
      <c r="I155" t="inlineStr">
        <is>
          <t>递延收入率</t>
        </is>
      </c>
    </row>
    <row r="156">
      <c r="A156" t="inlineStr">
        <is>
          <t>IND</t>
        </is>
      </c>
      <c r="D156" s="12" t="n">
        <v>2024</v>
      </c>
      <c r="E156" t="inlineStr">
        <is>
          <t>ACTUAL</t>
        </is>
      </c>
      <c r="F156" s="5" t="inlineStr">
        <is>
          <t>deferred_rate</t>
        </is>
      </c>
      <c r="G156" s="13" t="n">
        <v>0.08</v>
      </c>
      <c r="H156" t="inlineStr">
        <is>
          <t>假设初始化</t>
        </is>
      </c>
      <c r="I156" t="inlineStr">
        <is>
          <t>递延收入率</t>
        </is>
      </c>
    </row>
    <row r="157">
      <c r="A157" t="inlineStr">
        <is>
          <t>TOC</t>
        </is>
      </c>
      <c r="D157" s="12" t="n">
        <v>2024</v>
      </c>
      <c r="E157" t="inlineStr">
        <is>
          <t>ACTUAL</t>
        </is>
      </c>
      <c r="F157" s="5" t="inlineStr">
        <is>
          <t>deferred_rate</t>
        </is>
      </c>
      <c r="G157" s="13" t="n">
        <v>0.2</v>
      </c>
      <c r="H157" t="inlineStr">
        <is>
          <t>假设初始化</t>
        </is>
      </c>
      <c r="I157" t="inlineStr">
        <is>
          <t>递延收入率</t>
        </is>
      </c>
    </row>
    <row r="158">
      <c r="A158" t="inlineStr">
        <is>
          <t>HOLD</t>
        </is>
      </c>
      <c r="D158" s="12" t="n">
        <v>2024</v>
      </c>
      <c r="E158" t="inlineStr">
        <is>
          <t>ACTUAL</t>
        </is>
      </c>
      <c r="F158" s="5" t="inlineStr">
        <is>
          <t>capex_gpu</t>
        </is>
      </c>
      <c r="G158" s="13" t="n">
        <v>60000</v>
      </c>
      <c r="H158" t="inlineStr">
        <is>
          <t>假设初始化</t>
        </is>
      </c>
      <c r="I158" t="inlineStr">
        <is>
          <t>训练卡</t>
        </is>
      </c>
    </row>
    <row r="159">
      <c r="A159" t="inlineStr">
        <is>
          <t>CLOUD</t>
        </is>
      </c>
      <c r="D159" s="12" t="n">
        <v>2024</v>
      </c>
      <c r="E159" t="inlineStr">
        <is>
          <t>ACTUAL</t>
        </is>
      </c>
      <c r="F159" s="5" t="inlineStr">
        <is>
          <t>capex_gpu</t>
        </is>
      </c>
      <c r="G159" s="13" t="n">
        <v>30000</v>
      </c>
      <c r="H159" t="inlineStr">
        <is>
          <t>假设初始化</t>
        </is>
      </c>
      <c r="I159" t="inlineStr">
        <is>
          <t>推理卡</t>
        </is>
      </c>
    </row>
    <row r="160">
      <c r="A160" t="inlineStr">
        <is>
          <t>GROUP</t>
        </is>
      </c>
      <c r="D160" s="12" t="n">
        <v>2025</v>
      </c>
      <c r="E160" t="inlineStr">
        <is>
          <t>ACTUAL</t>
        </is>
      </c>
      <c r="F160" s="5" t="inlineStr">
        <is>
          <t>tax_rate</t>
        </is>
      </c>
      <c r="G160" s="13" t="n">
        <v>0.15</v>
      </c>
      <c r="H160" t="inlineStr">
        <is>
          <t>假设初始化</t>
        </is>
      </c>
      <c r="I160" t="inlineStr">
        <is>
          <t>所得税率</t>
        </is>
      </c>
    </row>
    <row r="161">
      <c r="A161" t="inlineStr">
        <is>
          <t>GROUP</t>
        </is>
      </c>
      <c r="D161" s="12" t="n">
        <v>2025</v>
      </c>
      <c r="E161" t="inlineStr">
        <is>
          <t>ACTUAL</t>
        </is>
      </c>
      <c r="F161" s="5" t="inlineStr">
        <is>
          <t>dso_days</t>
        </is>
      </c>
      <c r="G161" s="13" t="n">
        <v>60</v>
      </c>
      <c r="H161" t="inlineStr">
        <is>
          <t>假设初始化</t>
        </is>
      </c>
      <c r="I161" t="inlineStr">
        <is>
          <t>应收账期（天）</t>
        </is>
      </c>
    </row>
    <row r="162">
      <c r="A162" t="inlineStr">
        <is>
          <t>GROUP</t>
        </is>
      </c>
      <c r="D162" s="12" t="n">
        <v>2025</v>
      </c>
      <c r="E162" t="inlineStr">
        <is>
          <t>ACTUAL</t>
        </is>
      </c>
      <c r="F162" s="5" t="inlineStr">
        <is>
          <t>dpo_days</t>
        </is>
      </c>
      <c r="G162" s="13" t="n">
        <v>45</v>
      </c>
      <c r="H162" t="inlineStr">
        <is>
          <t>假设初始化</t>
        </is>
      </c>
      <c r="I162" t="inlineStr">
        <is>
          <t>应付账期（天）</t>
        </is>
      </c>
    </row>
    <row r="163">
      <c r="A163" t="inlineStr">
        <is>
          <t>GROUP</t>
        </is>
      </c>
      <c r="D163" s="12" t="n">
        <v>2025</v>
      </c>
      <c r="E163" t="inlineStr">
        <is>
          <t>ACTUAL</t>
        </is>
      </c>
      <c r="F163" s="5" t="inlineStr">
        <is>
          <t>ic_days</t>
        </is>
      </c>
      <c r="G163" s="13" t="n">
        <v>60</v>
      </c>
      <c r="H163" t="inlineStr">
        <is>
          <t>假设初始化</t>
        </is>
      </c>
      <c r="I163" t="inlineStr">
        <is>
          <t>内部往来账期（天）</t>
        </is>
      </c>
    </row>
    <row r="164">
      <c r="A164" t="inlineStr">
        <is>
          <t>GROUP</t>
        </is>
      </c>
      <c r="D164" s="12" t="n">
        <v>2025</v>
      </c>
      <c r="E164" t="inlineStr">
        <is>
          <t>ACTUAL</t>
        </is>
      </c>
      <c r="F164" s="5" t="inlineStr">
        <is>
          <t>wacc</t>
        </is>
      </c>
      <c r="G164" s="13" t="n">
        <v>0.1</v>
      </c>
      <c r="H164" t="inlineStr">
        <is>
          <t>假设初始化</t>
        </is>
      </c>
      <c r="I164" t="inlineStr">
        <is>
          <t>WACC</t>
        </is>
      </c>
    </row>
    <row r="165">
      <c r="A165" t="inlineStr">
        <is>
          <t>GROUP</t>
        </is>
      </c>
      <c r="C165" t="inlineStr">
        <is>
          <t>华东</t>
        </is>
      </c>
      <c r="D165" s="12" t="n">
        <v>2025</v>
      </c>
      <c r="E165" t="inlineStr">
        <is>
          <t>ACTUAL</t>
        </is>
      </c>
      <c r="F165" s="5" t="inlineStr">
        <is>
          <t>region_mix</t>
        </is>
      </c>
      <c r="G165" s="13" t="n">
        <v>0.3</v>
      </c>
      <c r="H165" t="inlineStr">
        <is>
          <t>行业研究</t>
        </is>
      </c>
      <c r="I165" t="inlineStr">
        <is>
          <t>收入地区占比</t>
        </is>
      </c>
    </row>
    <row r="166">
      <c r="A166" t="inlineStr">
        <is>
          <t>GROUP</t>
        </is>
      </c>
      <c r="C166" t="inlineStr">
        <is>
          <t>华北</t>
        </is>
      </c>
      <c r="D166" s="12" t="n">
        <v>2025</v>
      </c>
      <c r="E166" t="inlineStr">
        <is>
          <t>ACTUAL</t>
        </is>
      </c>
      <c r="F166" s="5" t="inlineStr">
        <is>
          <t>region_mix</t>
        </is>
      </c>
      <c r="G166" s="13" t="n">
        <v>0.29</v>
      </c>
      <c r="H166" t="inlineStr">
        <is>
          <t>行业研究</t>
        </is>
      </c>
      <c r="I166" t="inlineStr">
        <is>
          <t>收入地区占比</t>
        </is>
      </c>
    </row>
    <row r="167">
      <c r="A167" t="inlineStr">
        <is>
          <t>GROUP</t>
        </is>
      </c>
      <c r="C167" t="inlineStr">
        <is>
          <t>华南</t>
        </is>
      </c>
      <c r="D167" s="12" t="n">
        <v>2025</v>
      </c>
      <c r="E167" t="inlineStr">
        <is>
          <t>ACTUAL</t>
        </is>
      </c>
      <c r="F167" s="5" t="inlineStr">
        <is>
          <t>region_mix</t>
        </is>
      </c>
      <c r="G167" s="13" t="n">
        <v>0.2</v>
      </c>
      <c r="H167" t="inlineStr">
        <is>
          <t>行业研究</t>
        </is>
      </c>
      <c r="I167" t="inlineStr">
        <is>
          <t>收入地区占比</t>
        </is>
      </c>
    </row>
    <row r="168">
      <c r="A168" t="inlineStr">
        <is>
          <t>GROUP</t>
        </is>
      </c>
      <c r="C168" t="inlineStr">
        <is>
          <t>海外</t>
        </is>
      </c>
      <c r="D168" s="12" t="n">
        <v>2025</v>
      </c>
      <c r="E168" t="inlineStr">
        <is>
          <t>ACTUAL</t>
        </is>
      </c>
      <c r="F168" s="5" t="inlineStr">
        <is>
          <t>region_mix</t>
        </is>
      </c>
      <c r="G168" s="13" t="n">
        <v>0.21</v>
      </c>
      <c r="H168" t="inlineStr">
        <is>
          <t>行业研究</t>
        </is>
      </c>
      <c r="I168" t="inlineStr">
        <is>
          <t>收入地区占比</t>
        </is>
      </c>
    </row>
    <row r="169">
      <c r="A169" t="inlineStr">
        <is>
          <t>CLOUD</t>
        </is>
      </c>
      <c r="D169" s="12" t="n">
        <v>2025</v>
      </c>
      <c r="E169" t="inlineStr">
        <is>
          <t>ACTUAL</t>
        </is>
      </c>
      <c r="F169" s="5" t="inlineStr">
        <is>
          <t>token_volume_day</t>
        </is>
      </c>
      <c r="G169" s="13" t="n">
        <v>450</v>
      </c>
      <c r="H169" t="inlineStr">
        <is>
          <t>假设初始化</t>
        </is>
      </c>
      <c r="I169" t="inlineStr">
        <is>
          <t>日均 token 消耗（B/day）</t>
        </is>
      </c>
    </row>
    <row r="170">
      <c r="A170" t="inlineStr">
        <is>
          <t>CLOUD</t>
        </is>
      </c>
      <c r="D170" s="12" t="n">
        <v>2025</v>
      </c>
      <c r="E170" t="inlineStr">
        <is>
          <t>ACTUAL</t>
        </is>
      </c>
      <c r="F170" s="5" t="inlineStr">
        <is>
          <t>api_price</t>
        </is>
      </c>
      <c r="G170" s="13" t="n">
        <v>4.8</v>
      </c>
      <c r="H170" t="inlineStr">
        <is>
          <t>假设初始化</t>
        </is>
      </c>
      <c r="I170" t="inlineStr">
        <is>
          <t>综合单价（元/M tokens）</t>
        </is>
      </c>
    </row>
    <row r="171">
      <c r="A171" t="inlineStr">
        <is>
          <t>CLOUD</t>
        </is>
      </c>
      <c r="D171" s="12" t="n">
        <v>2025</v>
      </c>
      <c r="E171" t="inlineStr">
        <is>
          <t>ACTUAL</t>
        </is>
      </c>
      <c r="F171" s="5" t="inlineStr">
        <is>
          <t>inference_ucost</t>
        </is>
      </c>
      <c r="G171" s="13" t="n">
        <v>2.15</v>
      </c>
      <c r="H171" t="inlineStr">
        <is>
          <t>假设初始化</t>
        </is>
      </c>
      <c r="I171" t="inlineStr">
        <is>
          <t>推理单位成本（元/M tok）</t>
        </is>
      </c>
    </row>
    <row r="172">
      <c r="A172" t="inlineStr">
        <is>
          <t>CLOUD</t>
        </is>
      </c>
      <c r="D172" s="12" t="n">
        <v>2025</v>
      </c>
      <c r="E172" t="inlineStr">
        <is>
          <t>ACTUAL</t>
        </is>
      </c>
      <c r="F172" s="5" t="inlineStr">
        <is>
          <t>bandwidth_fee</t>
        </is>
      </c>
      <c r="G172" s="13" t="n">
        <v>1300</v>
      </c>
      <c r="H172" t="inlineStr">
        <is>
          <t>假设初始化</t>
        </is>
      </c>
      <c r="I172" t="inlineStr">
        <is>
          <t>带宽机房费用（万）</t>
        </is>
      </c>
    </row>
    <row r="173">
      <c r="A173" t="inlineStr">
        <is>
          <t>CLOUD</t>
        </is>
      </c>
      <c r="D173" s="12" t="n">
        <v>2025</v>
      </c>
      <c r="E173" t="inlineStr">
        <is>
          <t>ACTUAL</t>
        </is>
      </c>
      <c r="F173" s="5" t="inlineStr">
        <is>
          <t>customers</t>
        </is>
      </c>
      <c r="G173" s="13" t="n">
        <v>4500</v>
      </c>
      <c r="H173" t="inlineStr">
        <is>
          <t>假设初始化</t>
        </is>
      </c>
      <c r="I173" t="inlineStr">
        <is>
          <t>付费客户数（家）</t>
        </is>
      </c>
    </row>
    <row r="174">
      <c r="A174" t="inlineStr">
        <is>
          <t>CLOUD</t>
        </is>
      </c>
      <c r="D174" s="12" t="n">
        <v>2025</v>
      </c>
      <c r="E174" t="inlineStr">
        <is>
          <t>ACTUAL</t>
        </is>
      </c>
      <c r="F174" s="5" t="inlineStr">
        <is>
          <t>churn_m</t>
        </is>
      </c>
      <c r="G174" s="13" t="n">
        <v>0.012</v>
      </c>
      <c r="H174" t="inlineStr">
        <is>
          <t>假设初始化</t>
        </is>
      </c>
      <c r="I174" t="inlineStr">
        <is>
          <t>月流失率</t>
        </is>
      </c>
    </row>
    <row r="175">
      <c r="A175" t="inlineStr">
        <is>
          <t>IND</t>
        </is>
      </c>
      <c r="D175" s="12" t="n">
        <v>2025</v>
      </c>
      <c r="E175" t="inlineStr">
        <is>
          <t>ACTUAL</t>
        </is>
      </c>
      <c r="F175" s="5" t="inlineStr">
        <is>
          <t>projects_pvt</t>
        </is>
      </c>
      <c r="G175" s="13" t="n">
        <v>22</v>
      </c>
      <c r="H175" t="inlineStr">
        <is>
          <t>假设初始化</t>
        </is>
      </c>
      <c r="I175" t="inlineStr">
        <is>
          <t>私有化项目数（个）</t>
        </is>
      </c>
    </row>
    <row r="176">
      <c r="A176" t="inlineStr">
        <is>
          <t>IND</t>
        </is>
      </c>
      <c r="D176" s="12" t="n">
        <v>2025</v>
      </c>
      <c r="E176" t="inlineStr">
        <is>
          <t>ACTUAL</t>
        </is>
      </c>
      <c r="F176" s="5" t="inlineStr">
        <is>
          <t>avg_contract</t>
        </is>
      </c>
      <c r="G176" s="13" t="n">
        <v>1250</v>
      </c>
      <c r="H176" t="inlineStr">
        <is>
          <t>假设初始化</t>
        </is>
      </c>
      <c r="I176" t="inlineStr">
        <is>
          <t>平均合同额（万）</t>
        </is>
      </c>
    </row>
    <row r="177">
      <c r="A177" t="inlineStr">
        <is>
          <t>IND</t>
        </is>
      </c>
      <c r="D177" s="12" t="n">
        <v>2025</v>
      </c>
      <c r="E177" t="inlineStr">
        <is>
          <t>ACTUAL</t>
        </is>
      </c>
      <c r="F177" s="5" t="inlineStr">
        <is>
          <t>subscribers_sol</t>
        </is>
      </c>
      <c r="G177" s="13" t="n">
        <v>62</v>
      </c>
      <c r="H177" t="inlineStr">
        <is>
          <t>假设初始化</t>
        </is>
      </c>
      <c r="I177" t="inlineStr">
        <is>
          <t>解决方案签约客户（累计）</t>
        </is>
      </c>
    </row>
    <row r="178">
      <c r="A178" t="inlineStr">
        <is>
          <t>IND</t>
        </is>
      </c>
      <c r="D178" s="12" t="n">
        <v>2025</v>
      </c>
      <c r="E178" t="inlineStr">
        <is>
          <t>ACTUAL</t>
        </is>
      </c>
      <c r="F178" s="5" t="inlineStr">
        <is>
          <t>sub_fee</t>
        </is>
      </c>
      <c r="G178" s="13" t="n">
        <v>105</v>
      </c>
      <c r="H178" t="inlineStr">
        <is>
          <t>假设初始化</t>
        </is>
      </c>
      <c r="I178" t="inlineStr">
        <is>
          <t>解决方案年费（万）</t>
        </is>
      </c>
    </row>
    <row r="179">
      <c r="A179" t="inlineStr">
        <is>
          <t>IND</t>
        </is>
      </c>
      <c r="D179" s="12" t="n">
        <v>2025</v>
      </c>
      <c r="E179" t="inlineStr">
        <is>
          <t>ACTUAL</t>
        </is>
      </c>
      <c r="F179" s="5" t="inlineStr">
        <is>
          <t>cogs_rate_pvt</t>
        </is>
      </c>
      <c r="G179" s="13" t="n">
        <v>0.61</v>
      </c>
      <c r="H179" t="inlineStr">
        <is>
          <t>假设初始化</t>
        </is>
      </c>
      <c r="I179" t="inlineStr">
        <is>
          <t>私有化成本率</t>
        </is>
      </c>
    </row>
    <row r="180">
      <c r="A180" t="inlineStr">
        <is>
          <t>IND</t>
        </is>
      </c>
      <c r="D180" s="12" t="n">
        <v>2025</v>
      </c>
      <c r="E180" t="inlineStr">
        <is>
          <t>ACTUAL</t>
        </is>
      </c>
      <c r="F180" s="5" t="inlineStr">
        <is>
          <t>cogs_rate_sol</t>
        </is>
      </c>
      <c r="G180" s="13" t="n">
        <v>0.42</v>
      </c>
      <c r="H180" t="inlineStr">
        <is>
          <t>假设初始化</t>
        </is>
      </c>
      <c r="I180" t="inlineStr">
        <is>
          <t>解决方案成本率</t>
        </is>
      </c>
    </row>
    <row r="181">
      <c r="A181" t="inlineStr">
        <is>
          <t>TOC</t>
        </is>
      </c>
      <c r="D181" s="12" t="n">
        <v>2025</v>
      </c>
      <c r="E181" t="inlineStr">
        <is>
          <t>ACTUAL</t>
        </is>
      </c>
      <c r="F181" s="5" t="inlineStr">
        <is>
          <t>mau_w</t>
        </is>
      </c>
      <c r="G181" s="13" t="n">
        <v>800</v>
      </c>
      <c r="H181" t="inlineStr">
        <is>
          <t>假设初始化</t>
        </is>
      </c>
      <c r="I181" t="inlineStr">
        <is>
          <t>MAU（万人）</t>
        </is>
      </c>
    </row>
    <row r="182">
      <c r="A182" t="inlineStr">
        <is>
          <t>TOC</t>
        </is>
      </c>
      <c r="D182" s="12" t="n">
        <v>2025</v>
      </c>
      <c r="E182" t="inlineStr">
        <is>
          <t>ACTUAL</t>
        </is>
      </c>
      <c r="F182" s="5" t="inlineStr">
        <is>
          <t>pay_rate</t>
        </is>
      </c>
      <c r="G182" s="13" t="n">
        <v>0.035</v>
      </c>
      <c r="H182" t="inlineStr">
        <is>
          <t>假设初始化</t>
        </is>
      </c>
      <c r="I182" t="inlineStr">
        <is>
          <t>付费转化率</t>
        </is>
      </c>
    </row>
    <row r="183">
      <c r="A183" t="inlineStr">
        <is>
          <t>TOC</t>
        </is>
      </c>
      <c r="D183" s="12" t="n">
        <v>2025</v>
      </c>
      <c r="E183" t="inlineStr">
        <is>
          <t>ACTUAL</t>
        </is>
      </c>
      <c r="F183" s="5" t="inlineStr">
        <is>
          <t>arppu</t>
        </is>
      </c>
      <c r="G183" s="13" t="n">
        <v>32</v>
      </c>
      <c r="H183" t="inlineStr">
        <is>
          <t>假设初始化</t>
        </is>
      </c>
      <c r="I183" t="inlineStr">
        <is>
          <t>ARPPU（元/付费/月）</t>
        </is>
      </c>
    </row>
    <row r="184">
      <c r="A184" t="inlineStr">
        <is>
          <t>TOC</t>
        </is>
      </c>
      <c r="D184" s="12" t="n">
        <v>2025</v>
      </c>
      <c r="E184" t="inlineStr">
        <is>
          <t>ACTUAL</t>
        </is>
      </c>
      <c r="F184" s="5" t="inlineStr">
        <is>
          <t>ads_rev</t>
        </is>
      </c>
      <c r="G184" s="13" t="n">
        <v>1200</v>
      </c>
      <c r="H184" t="inlineStr">
        <is>
          <t>假设初始化</t>
        </is>
      </c>
      <c r="I184" t="inlineStr">
        <is>
          <t>广告收入（万）</t>
        </is>
      </c>
    </row>
    <row r="185">
      <c r="A185" t="inlineStr">
        <is>
          <t>TOC</t>
        </is>
      </c>
      <c r="D185" s="12" t="n">
        <v>2025</v>
      </c>
      <c r="E185" t="inlineStr">
        <is>
          <t>ACTUAL</t>
        </is>
      </c>
      <c r="F185" s="5" t="inlineStr">
        <is>
          <t>ucost_toc</t>
        </is>
      </c>
      <c r="G185" s="13" t="n">
        <v>0.78</v>
      </c>
      <c r="H185" t="inlineStr">
        <is>
          <t>假设初始化</t>
        </is>
      </c>
      <c r="I185" t="inlineStr">
        <is>
          <t>单位推理+带宽成本（元/MAU/月）</t>
        </is>
      </c>
    </row>
    <row r="186">
      <c r="A186" t="inlineStr">
        <is>
          <t>TOC</t>
        </is>
      </c>
      <c r="D186" s="12" t="n">
        <v>2025</v>
      </c>
      <c r="E186" t="inlineStr">
        <is>
          <t>ACTUAL</t>
        </is>
      </c>
      <c r="F186" s="5" t="inlineStr">
        <is>
          <t>cac</t>
        </is>
      </c>
      <c r="G186" s="13" t="n">
        <v>12</v>
      </c>
      <c r="H186" t="inlineStr">
        <is>
          <t>投放实测</t>
        </is>
      </c>
      <c r="I186" t="inlineStr">
        <is>
          <t>获客成本（元/新增用户）</t>
        </is>
      </c>
    </row>
    <row r="187">
      <c r="A187" t="inlineStr">
        <is>
          <t>TOC</t>
        </is>
      </c>
      <c r="D187" s="12" t="n">
        <v>2025</v>
      </c>
      <c r="E187" t="inlineStr">
        <is>
          <t>ACTUAL</t>
        </is>
      </c>
      <c r="F187" s="5" t="inlineStr">
        <is>
          <t>new_user_mult</t>
        </is>
      </c>
      <c r="G187" s="13" t="n">
        <v>1.5</v>
      </c>
      <c r="H187" t="inlineStr">
        <is>
          <t>假设初始化</t>
        </is>
      </c>
      <c r="I187" t="inlineStr">
        <is>
          <t>新增用户=MAU增量×</t>
        </is>
      </c>
    </row>
    <row r="188">
      <c r="A188" t="inlineStr">
        <is>
          <t>CLOUD</t>
        </is>
      </c>
      <c r="D188" s="12" t="n">
        <v>2025</v>
      </c>
      <c r="E188" t="inlineStr">
        <is>
          <t>ACTUAL</t>
        </is>
      </c>
      <c r="F188" s="5" t="inlineStr">
        <is>
          <t>headcount_rd</t>
        </is>
      </c>
      <c r="G188" s="13" t="n">
        <v>320</v>
      </c>
      <c r="H188" t="inlineStr">
        <is>
          <t>假设初始化</t>
        </is>
      </c>
      <c r="I188" t="inlineStr">
        <is>
          <t>研发编制（人）</t>
        </is>
      </c>
    </row>
    <row r="189">
      <c r="A189" t="inlineStr">
        <is>
          <t>CLOUD</t>
        </is>
      </c>
      <c r="D189" s="12" t="n">
        <v>2025</v>
      </c>
      <c r="E189" t="inlineStr">
        <is>
          <t>ACTUAL</t>
        </is>
      </c>
      <c r="F189" s="5" t="inlineStr">
        <is>
          <t>salary_rd</t>
        </is>
      </c>
      <c r="G189" s="13" t="n">
        <v>70</v>
      </c>
      <c r="H189" t="inlineStr">
        <is>
          <t>假设初始化</t>
        </is>
      </c>
      <c r="I189" t="inlineStr">
        <is>
          <t>研发人均全成本（万/年）</t>
        </is>
      </c>
    </row>
    <row r="190">
      <c r="A190" t="inlineStr">
        <is>
          <t>CLOUD</t>
        </is>
      </c>
      <c r="D190" s="12" t="n">
        <v>2025</v>
      </c>
      <c r="E190" t="inlineStr">
        <is>
          <t>ACTUAL</t>
        </is>
      </c>
      <c r="F190" s="5" t="inlineStr">
        <is>
          <t>headcount_sales</t>
        </is>
      </c>
      <c r="G190" s="13" t="n">
        <v>85</v>
      </c>
      <c r="H190" t="inlineStr">
        <is>
          <t>假设初始化</t>
        </is>
      </c>
      <c r="I190" t="inlineStr">
        <is>
          <t>销售编制（人）</t>
        </is>
      </c>
    </row>
    <row r="191">
      <c r="A191" t="inlineStr">
        <is>
          <t>CLOUD</t>
        </is>
      </c>
      <c r="D191" s="12" t="n">
        <v>2025</v>
      </c>
      <c r="E191" t="inlineStr">
        <is>
          <t>ACTUAL</t>
        </is>
      </c>
      <c r="F191" s="5" t="inlineStr">
        <is>
          <t>salary_sales</t>
        </is>
      </c>
      <c r="G191" s="13" t="n">
        <v>60</v>
      </c>
      <c r="H191" t="inlineStr">
        <is>
          <t>假设初始化</t>
        </is>
      </c>
      <c r="I191" t="inlineStr">
        <is>
          <t>销售人均全成本（万/年）</t>
        </is>
      </c>
    </row>
    <row r="192">
      <c r="A192" t="inlineStr">
        <is>
          <t>CLOUD</t>
        </is>
      </c>
      <c r="D192" s="12" t="n">
        <v>2025</v>
      </c>
      <c r="E192" t="inlineStr">
        <is>
          <t>ACTUAL</t>
        </is>
      </c>
      <c r="F192" s="5" t="inlineStr">
        <is>
          <t>headcount_gna</t>
        </is>
      </c>
      <c r="G192" s="13" t="n">
        <v>40</v>
      </c>
      <c r="H192" t="inlineStr">
        <is>
          <t>假设初始化</t>
        </is>
      </c>
      <c r="I192" t="inlineStr">
        <is>
          <t>管理编制（人）</t>
        </is>
      </c>
    </row>
    <row r="193">
      <c r="A193" t="inlineStr">
        <is>
          <t>CLOUD</t>
        </is>
      </c>
      <c r="D193" s="12" t="n">
        <v>2025</v>
      </c>
      <c r="E193" t="inlineStr">
        <is>
          <t>ACTUAL</t>
        </is>
      </c>
      <c r="F193" s="5" t="inlineStr">
        <is>
          <t>salary_gna</t>
        </is>
      </c>
      <c r="G193" s="13" t="n">
        <v>55</v>
      </c>
      <c r="H193" t="inlineStr">
        <is>
          <t>假设初始化</t>
        </is>
      </c>
      <c r="I193" t="inlineStr">
        <is>
          <t>管理人均全成本（万/年）</t>
        </is>
      </c>
    </row>
    <row r="194">
      <c r="A194" t="inlineStr">
        <is>
          <t>IND</t>
        </is>
      </c>
      <c r="D194" s="12" t="n">
        <v>2025</v>
      </c>
      <c r="E194" t="inlineStr">
        <is>
          <t>ACTUAL</t>
        </is>
      </c>
      <c r="F194" s="5" t="inlineStr">
        <is>
          <t>headcount_rd</t>
        </is>
      </c>
      <c r="G194" s="13" t="n">
        <v>100</v>
      </c>
      <c r="H194" t="inlineStr">
        <is>
          <t>假设初始化</t>
        </is>
      </c>
      <c r="I194" t="inlineStr">
        <is>
          <t>研发编制（人）</t>
        </is>
      </c>
    </row>
    <row r="195">
      <c r="A195" t="inlineStr">
        <is>
          <t>IND</t>
        </is>
      </c>
      <c r="D195" s="12" t="n">
        <v>2025</v>
      </c>
      <c r="E195" t="inlineStr">
        <is>
          <t>ACTUAL</t>
        </is>
      </c>
      <c r="F195" s="5" t="inlineStr">
        <is>
          <t>salary_rd</t>
        </is>
      </c>
      <c r="G195" s="13" t="n">
        <v>70</v>
      </c>
      <c r="H195" t="inlineStr">
        <is>
          <t>假设初始化</t>
        </is>
      </c>
      <c r="I195" t="inlineStr">
        <is>
          <t>研发人均全成本（万/年）</t>
        </is>
      </c>
    </row>
    <row r="196">
      <c r="A196" t="inlineStr">
        <is>
          <t>IND</t>
        </is>
      </c>
      <c r="D196" s="12" t="n">
        <v>2025</v>
      </c>
      <c r="E196" t="inlineStr">
        <is>
          <t>ACTUAL</t>
        </is>
      </c>
      <c r="F196" s="5" t="inlineStr">
        <is>
          <t>headcount_sales</t>
        </is>
      </c>
      <c r="G196" s="13" t="n">
        <v>50</v>
      </c>
      <c r="H196" t="inlineStr">
        <is>
          <t>假设初始化</t>
        </is>
      </c>
      <c r="I196" t="inlineStr">
        <is>
          <t>销售编制（人）</t>
        </is>
      </c>
    </row>
    <row r="197">
      <c r="A197" t="inlineStr">
        <is>
          <t>IND</t>
        </is>
      </c>
      <c r="D197" s="12" t="n">
        <v>2025</v>
      </c>
      <c r="E197" t="inlineStr">
        <is>
          <t>ACTUAL</t>
        </is>
      </c>
      <c r="F197" s="5" t="inlineStr">
        <is>
          <t>salary_sales</t>
        </is>
      </c>
      <c r="G197" s="13" t="n">
        <v>60</v>
      </c>
      <c r="H197" t="inlineStr">
        <is>
          <t>假设初始化</t>
        </is>
      </c>
      <c r="I197" t="inlineStr">
        <is>
          <t>销售人均全成本（万/年）</t>
        </is>
      </c>
    </row>
    <row r="198">
      <c r="A198" t="inlineStr">
        <is>
          <t>IND</t>
        </is>
      </c>
      <c r="D198" s="12" t="n">
        <v>2025</v>
      </c>
      <c r="E198" t="inlineStr">
        <is>
          <t>ACTUAL</t>
        </is>
      </c>
      <c r="F198" s="5" t="inlineStr">
        <is>
          <t>headcount_gna</t>
        </is>
      </c>
      <c r="G198" s="13" t="n">
        <v>30</v>
      </c>
      <c r="H198" t="inlineStr">
        <is>
          <t>假设初始化</t>
        </is>
      </c>
      <c r="I198" t="inlineStr">
        <is>
          <t>管理编制（人）</t>
        </is>
      </c>
    </row>
    <row r="199">
      <c r="A199" t="inlineStr">
        <is>
          <t>IND</t>
        </is>
      </c>
      <c r="D199" s="12" t="n">
        <v>2025</v>
      </c>
      <c r="E199" t="inlineStr">
        <is>
          <t>ACTUAL</t>
        </is>
      </c>
      <c r="F199" s="5" t="inlineStr">
        <is>
          <t>salary_gna</t>
        </is>
      </c>
      <c r="G199" s="13" t="n">
        <v>55</v>
      </c>
      <c r="H199" t="inlineStr">
        <is>
          <t>假设初始化</t>
        </is>
      </c>
      <c r="I199" t="inlineStr">
        <is>
          <t>管理人均全成本（万/年）</t>
        </is>
      </c>
    </row>
    <row r="200">
      <c r="A200" t="inlineStr">
        <is>
          <t>TOC</t>
        </is>
      </c>
      <c r="D200" s="12" t="n">
        <v>2025</v>
      </c>
      <c r="E200" t="inlineStr">
        <is>
          <t>ACTUAL</t>
        </is>
      </c>
      <c r="F200" s="5" t="inlineStr">
        <is>
          <t>headcount_rd</t>
        </is>
      </c>
      <c r="G200" s="13" t="n">
        <v>160</v>
      </c>
      <c r="H200" t="inlineStr">
        <is>
          <t>假设初始化</t>
        </is>
      </c>
      <c r="I200" t="inlineStr">
        <is>
          <t>研发编制（人）</t>
        </is>
      </c>
    </row>
    <row r="201">
      <c r="A201" t="inlineStr">
        <is>
          <t>TOC</t>
        </is>
      </c>
      <c r="D201" s="12" t="n">
        <v>2025</v>
      </c>
      <c r="E201" t="inlineStr">
        <is>
          <t>ACTUAL</t>
        </is>
      </c>
      <c r="F201" s="5" t="inlineStr">
        <is>
          <t>salary_rd</t>
        </is>
      </c>
      <c r="G201" s="13" t="n">
        <v>70</v>
      </c>
      <c r="H201" t="inlineStr">
        <is>
          <t>假设初始化</t>
        </is>
      </c>
      <c r="I201" t="inlineStr">
        <is>
          <t>研发人均全成本（万/年）</t>
        </is>
      </c>
    </row>
    <row r="202">
      <c r="A202" t="inlineStr">
        <is>
          <t>TOC</t>
        </is>
      </c>
      <c r="D202" s="12" t="n">
        <v>2025</v>
      </c>
      <c r="E202" t="inlineStr">
        <is>
          <t>ACTUAL</t>
        </is>
      </c>
      <c r="F202" s="5" t="inlineStr">
        <is>
          <t>headcount_sales</t>
        </is>
      </c>
      <c r="G202" s="13" t="n">
        <v>20</v>
      </c>
      <c r="H202" t="inlineStr">
        <is>
          <t>假设初始化</t>
        </is>
      </c>
      <c r="I202" t="inlineStr">
        <is>
          <t>销售编制（人）</t>
        </is>
      </c>
    </row>
    <row r="203">
      <c r="A203" t="inlineStr">
        <is>
          <t>TOC</t>
        </is>
      </c>
      <c r="D203" s="12" t="n">
        <v>2025</v>
      </c>
      <c r="E203" t="inlineStr">
        <is>
          <t>ACTUAL</t>
        </is>
      </c>
      <c r="F203" s="5" t="inlineStr">
        <is>
          <t>salary_sales</t>
        </is>
      </c>
      <c r="G203" s="13" t="n">
        <v>55</v>
      </c>
      <c r="H203" t="inlineStr">
        <is>
          <t>假设初始化</t>
        </is>
      </c>
      <c r="I203" t="inlineStr">
        <is>
          <t>销售人均全成本（万/年）</t>
        </is>
      </c>
    </row>
    <row r="204">
      <c r="A204" t="inlineStr">
        <is>
          <t>TOC</t>
        </is>
      </c>
      <c r="D204" s="12" t="n">
        <v>2025</v>
      </c>
      <c r="E204" t="inlineStr">
        <is>
          <t>ACTUAL</t>
        </is>
      </c>
      <c r="F204" s="5" t="inlineStr">
        <is>
          <t>headcount_gna</t>
        </is>
      </c>
      <c r="G204" s="13" t="n">
        <v>20</v>
      </c>
      <c r="H204" t="inlineStr">
        <is>
          <t>假设初始化</t>
        </is>
      </c>
      <c r="I204" t="inlineStr">
        <is>
          <t>管理编制（人）</t>
        </is>
      </c>
    </row>
    <row r="205">
      <c r="A205" t="inlineStr">
        <is>
          <t>TOC</t>
        </is>
      </c>
      <c r="D205" s="12" t="n">
        <v>2025</v>
      </c>
      <c r="E205" t="inlineStr">
        <is>
          <t>ACTUAL</t>
        </is>
      </c>
      <c r="F205" s="5" t="inlineStr">
        <is>
          <t>salary_gna</t>
        </is>
      </c>
      <c r="G205" s="13" t="n">
        <v>55</v>
      </c>
      <c r="H205" t="inlineStr">
        <is>
          <t>假设初始化</t>
        </is>
      </c>
      <c r="I205" t="inlineStr">
        <is>
          <t>管理人均全成本（万/年）</t>
        </is>
      </c>
    </row>
    <row r="206">
      <c r="A206" t="inlineStr">
        <is>
          <t>HOLD</t>
        </is>
      </c>
      <c r="D206" s="12" t="n">
        <v>2025</v>
      </c>
      <c r="E206" t="inlineStr">
        <is>
          <t>ACTUAL</t>
        </is>
      </c>
      <c r="F206" s="5" t="inlineStr">
        <is>
          <t>headcount_rd</t>
        </is>
      </c>
      <c r="G206" s="13" t="n">
        <v>560</v>
      </c>
      <c r="H206" t="inlineStr">
        <is>
          <t>假设初始化</t>
        </is>
      </c>
      <c r="I206" t="inlineStr">
        <is>
          <t>研发编制（人）</t>
        </is>
      </c>
    </row>
    <row r="207">
      <c r="A207" t="inlineStr">
        <is>
          <t>HOLD</t>
        </is>
      </c>
      <c r="D207" s="12" t="n">
        <v>2025</v>
      </c>
      <c r="E207" t="inlineStr">
        <is>
          <t>ACTUAL</t>
        </is>
      </c>
      <c r="F207" s="5" t="inlineStr">
        <is>
          <t>headcount_gna</t>
        </is>
      </c>
      <c r="G207" s="13" t="n">
        <v>25</v>
      </c>
      <c r="H207" t="inlineStr">
        <is>
          <t>假设初始化</t>
        </is>
      </c>
      <c r="I207" t="inlineStr">
        <is>
          <t>管理编制（人）</t>
        </is>
      </c>
    </row>
    <row r="208">
      <c r="A208" t="inlineStr">
        <is>
          <t>HOLD</t>
        </is>
      </c>
      <c r="D208" s="12" t="n">
        <v>2025</v>
      </c>
      <c r="E208" t="inlineStr">
        <is>
          <t>ACTUAL</t>
        </is>
      </c>
      <c r="F208" s="5" t="inlineStr">
        <is>
          <t>salary_gna</t>
        </is>
      </c>
      <c r="G208" s="13" t="n">
        <v>55</v>
      </c>
      <c r="H208" t="inlineStr">
        <is>
          <t>假设初始化</t>
        </is>
      </c>
      <c r="I208" t="inlineStr">
        <is>
          <t>管理人均全成本（万/年）</t>
        </is>
      </c>
    </row>
    <row r="209">
      <c r="A209" t="inlineStr">
        <is>
          <t>HOLD</t>
        </is>
      </c>
      <c r="D209" s="12" t="n">
        <v>2025</v>
      </c>
      <c r="E209" t="inlineStr">
        <is>
          <t>ACTUAL</t>
        </is>
      </c>
      <c r="F209" s="5" t="inlineStr">
        <is>
          <t>other_rd</t>
        </is>
      </c>
      <c r="G209" s="13" t="n">
        <v>5000</v>
      </c>
      <c r="H209" t="inlineStr">
        <is>
          <t>假设初始化</t>
        </is>
      </c>
      <c r="I209" t="inlineStr">
        <is>
          <t>其他研发费用（万）</t>
        </is>
      </c>
    </row>
    <row r="210">
      <c r="A210" t="inlineStr">
        <is>
          <t>HOLD</t>
        </is>
      </c>
      <c r="D210" s="12" t="n">
        <v>2025</v>
      </c>
      <c r="E210" t="inlineStr">
        <is>
          <t>ACTUAL</t>
        </is>
      </c>
      <c r="F210" s="5" t="inlineStr">
        <is>
          <t>hold_salary</t>
        </is>
      </c>
      <c r="G210" s="13" t="n">
        <v>82</v>
      </c>
      <c r="H210" t="inlineStr">
        <is>
          <t>假设初始化</t>
        </is>
      </c>
      <c r="I210" t="inlineStr">
        <is>
          <t>研究院研发人均全成本（万）</t>
        </is>
      </c>
    </row>
    <row r="211">
      <c r="A211" t="inlineStr">
        <is>
          <t>CLOUD</t>
        </is>
      </c>
      <c r="D211" s="12" t="n">
        <v>2025</v>
      </c>
      <c r="E211" t="inlineStr">
        <is>
          <t>ACTUAL</t>
        </is>
      </c>
      <c r="F211" s="5" t="inlineStr">
        <is>
          <t>t1_rate</t>
        </is>
      </c>
      <c r="G211" s="13" t="n">
        <v>0.12</v>
      </c>
      <c r="H211" t="inlineStr">
        <is>
          <t>假设初始化</t>
        </is>
      </c>
      <c r="I211" t="inlineStr">
        <is>
          <t>T1 license 费率</t>
        </is>
      </c>
    </row>
    <row r="212">
      <c r="A212" t="inlineStr">
        <is>
          <t>IND</t>
        </is>
      </c>
      <c r="D212" s="12" t="n">
        <v>2025</v>
      </c>
      <c r="E212" t="inlineStr">
        <is>
          <t>ACTUAL</t>
        </is>
      </c>
      <c r="F212" s="5" t="inlineStr">
        <is>
          <t>t1_rate</t>
        </is>
      </c>
      <c r="G212" s="13" t="n">
        <v>0.08</v>
      </c>
      <c r="H212" t="inlineStr">
        <is>
          <t>假设初始化</t>
        </is>
      </c>
      <c r="I212" t="inlineStr">
        <is>
          <t>T1 license 费率</t>
        </is>
      </c>
    </row>
    <row r="213">
      <c r="A213" t="inlineStr">
        <is>
          <t>TOC</t>
        </is>
      </c>
      <c r="D213" s="12" t="n">
        <v>2025</v>
      </c>
      <c r="E213" t="inlineStr">
        <is>
          <t>ACTUAL</t>
        </is>
      </c>
      <c r="F213" s="5" t="inlineStr">
        <is>
          <t>t1_rate</t>
        </is>
      </c>
      <c r="G213" s="13" t="n">
        <v>0.1</v>
      </c>
      <c r="H213" t="inlineStr">
        <is>
          <t>假设初始化</t>
        </is>
      </c>
      <c r="I213" t="inlineStr">
        <is>
          <t>T1 license 费率</t>
        </is>
      </c>
    </row>
    <row r="214">
      <c r="A214" t="inlineStr">
        <is>
          <t>HOLD</t>
        </is>
      </c>
      <c r="D214" s="12" t="n">
        <v>2025</v>
      </c>
      <c r="E214" t="inlineStr">
        <is>
          <t>ACTUAL</t>
        </is>
      </c>
      <c r="F214" s="5" t="inlineStr">
        <is>
          <t>t2_fee</t>
        </is>
      </c>
      <c r="G214" s="13" t="n">
        <v>5000</v>
      </c>
      <c r="H214" t="inlineStr">
        <is>
          <t>假设初始化</t>
        </is>
      </c>
      <c r="I214" t="inlineStr">
        <is>
          <t>T2 定制研发服务费（万）</t>
        </is>
      </c>
    </row>
    <row r="215">
      <c r="A215" t="inlineStr">
        <is>
          <t>GROUP</t>
        </is>
      </c>
      <c r="D215" s="12" t="n">
        <v>2025</v>
      </c>
      <c r="E215" t="inlineStr">
        <is>
          <t>ACTUAL</t>
        </is>
      </c>
      <c r="F215" s="5" t="inlineStr">
        <is>
          <t>t3_share</t>
        </is>
      </c>
      <c r="G215" s="13" t="n">
        <v>0.7</v>
      </c>
      <c r="H215" t="inlineStr">
        <is>
          <t>假设初始化</t>
        </is>
      </c>
      <c r="I215" t="inlineStr">
        <is>
          <t>T3 算力结算占比</t>
        </is>
      </c>
    </row>
    <row r="216">
      <c r="A216" t="inlineStr">
        <is>
          <t>GROUP</t>
        </is>
      </c>
      <c r="D216" s="12" t="n">
        <v>2025</v>
      </c>
      <c r="E216" t="inlineStr">
        <is>
          <t>ACTUAL</t>
        </is>
      </c>
      <c r="F216" s="5" t="inlineStr">
        <is>
          <t>t3_gm</t>
        </is>
      </c>
      <c r="G216" s="13" t="n">
        <v>0.45</v>
      </c>
      <c r="H216" t="inlineStr">
        <is>
          <t>假设初始化</t>
        </is>
      </c>
      <c r="I216" t="inlineStr">
        <is>
          <t>T3 云内部毛利率</t>
        </is>
      </c>
    </row>
    <row r="217">
      <c r="A217" t="inlineStr">
        <is>
          <t>GROUP</t>
        </is>
      </c>
      <c r="D217" s="12" t="n">
        <v>2025</v>
      </c>
      <c r="E217" t="inlineStr">
        <is>
          <t>ACTUAL</t>
        </is>
      </c>
      <c r="F217" s="5" t="inlineStr">
        <is>
          <t>cutoff_2027</t>
        </is>
      </c>
      <c r="G217" s="13" t="n">
        <v>220</v>
      </c>
      <c r="H217" t="inlineStr">
        <is>
          <t>假设初始化</t>
        </is>
      </c>
      <c r="I217" t="inlineStr">
        <is>
          <t>cut-off 在途（万）</t>
        </is>
      </c>
    </row>
    <row r="218">
      <c r="A218" t="inlineStr">
        <is>
          <t>HOLD</t>
        </is>
      </c>
      <c r="D218" s="12" t="n">
        <v>2025</v>
      </c>
      <c r="E218" t="inlineStr">
        <is>
          <t>ACTUAL</t>
        </is>
      </c>
      <c r="F218" s="5" t="inlineStr">
        <is>
          <t>equity_inject</t>
        </is>
      </c>
      <c r="G218" s="13" t="n">
        <v>120000</v>
      </c>
      <c r="H218" t="inlineStr">
        <is>
          <t>假设初始化</t>
        </is>
      </c>
      <c r="I218" t="inlineStr">
        <is>
          <t>当年新增注资（万）</t>
        </is>
      </c>
    </row>
    <row r="219">
      <c r="A219" t="inlineStr">
        <is>
          <t>CLOUD</t>
        </is>
      </c>
      <c r="D219" s="12" t="n">
        <v>2025</v>
      </c>
      <c r="E219" t="inlineStr">
        <is>
          <t>ACTUAL</t>
        </is>
      </c>
      <c r="F219" s="5" t="inlineStr">
        <is>
          <t>equity_inject</t>
        </is>
      </c>
      <c r="G219" s="13" t="n">
        <v>20000</v>
      </c>
      <c r="H219" t="inlineStr">
        <is>
          <t>假设初始化</t>
        </is>
      </c>
      <c r="I219" t="inlineStr">
        <is>
          <t>当年新增注资（万）</t>
        </is>
      </c>
    </row>
    <row r="220">
      <c r="A220" t="inlineStr">
        <is>
          <t>IND</t>
        </is>
      </c>
      <c r="D220" s="12" t="n">
        <v>2025</v>
      </c>
      <c r="E220" t="inlineStr">
        <is>
          <t>ACTUAL</t>
        </is>
      </c>
      <c r="F220" s="5" t="inlineStr">
        <is>
          <t>equity_inject</t>
        </is>
      </c>
      <c r="G220" s="13" t="n">
        <v>12000</v>
      </c>
      <c r="H220" t="inlineStr">
        <is>
          <t>假设初始化</t>
        </is>
      </c>
      <c r="I220" t="inlineStr">
        <is>
          <t>当年新增注资（万）</t>
        </is>
      </c>
    </row>
    <row r="221">
      <c r="A221" t="inlineStr">
        <is>
          <t>TOC</t>
        </is>
      </c>
      <c r="D221" s="12" t="n">
        <v>2025</v>
      </c>
      <c r="E221" t="inlineStr">
        <is>
          <t>ACTUAL</t>
        </is>
      </c>
      <c r="F221" s="5" t="inlineStr">
        <is>
          <t>equity_inject</t>
        </is>
      </c>
      <c r="G221" s="13" t="n">
        <v>12000</v>
      </c>
      <c r="H221" t="inlineStr">
        <is>
          <t>假设初始化</t>
        </is>
      </c>
      <c r="I221" t="inlineStr">
        <is>
          <t>当年新增注资（万）</t>
        </is>
      </c>
    </row>
    <row r="222">
      <c r="A222" t="inlineStr">
        <is>
          <t>HOLD</t>
        </is>
      </c>
      <c r="D222" s="12" t="n">
        <v>2025</v>
      </c>
      <c r="E222" t="inlineStr">
        <is>
          <t>ACTUAL</t>
        </is>
      </c>
      <c r="F222" s="5" t="inlineStr">
        <is>
          <t>open_re</t>
        </is>
      </c>
      <c r="G222" s="13" t="n">
        <v>-15000</v>
      </c>
      <c r="H222" t="inlineStr">
        <is>
          <t>假设初始化</t>
        </is>
      </c>
      <c r="I222" t="inlineStr">
        <is>
          <t>仅2023期初有效</t>
        </is>
      </c>
    </row>
    <row r="223">
      <c r="A223" t="inlineStr">
        <is>
          <t>HOLD</t>
        </is>
      </c>
      <c r="D223" s="12" t="n">
        <v>2025</v>
      </c>
      <c r="E223" t="inlineStr">
        <is>
          <t>ACTUAL</t>
        </is>
      </c>
      <c r="F223" s="5" t="inlineStr">
        <is>
          <t>open_pi</t>
        </is>
      </c>
      <c r="G223" s="13" t="n">
        <v>120000</v>
      </c>
      <c r="H223" t="inlineStr">
        <is>
          <t>假设初始化</t>
        </is>
      </c>
      <c r="I223" t="inlineStr">
        <is>
          <t>仅2023期初有效</t>
        </is>
      </c>
    </row>
    <row r="224">
      <c r="A224" t="inlineStr">
        <is>
          <t>CLOUD</t>
        </is>
      </c>
      <c r="D224" s="12" t="n">
        <v>2025</v>
      </c>
      <c r="E224" t="inlineStr">
        <is>
          <t>ACTUAL</t>
        </is>
      </c>
      <c r="F224" s="5" t="inlineStr">
        <is>
          <t>open_re</t>
        </is>
      </c>
      <c r="G224" s="13" t="n">
        <v>-8000</v>
      </c>
      <c r="H224" t="inlineStr">
        <is>
          <t>假设初始化</t>
        </is>
      </c>
      <c r="I224" t="inlineStr">
        <is>
          <t>仅2023期初有效</t>
        </is>
      </c>
    </row>
    <row r="225">
      <c r="A225" t="inlineStr">
        <is>
          <t>CLOUD</t>
        </is>
      </c>
      <c r="D225" s="12" t="n">
        <v>2025</v>
      </c>
      <c r="E225" t="inlineStr">
        <is>
          <t>ACTUAL</t>
        </is>
      </c>
      <c r="F225" s="5" t="inlineStr">
        <is>
          <t>open_pi</t>
        </is>
      </c>
      <c r="G225" s="13" t="n">
        <v>33000</v>
      </c>
      <c r="H225" t="inlineStr">
        <is>
          <t>假设初始化</t>
        </is>
      </c>
      <c r="I225" t="inlineStr">
        <is>
          <t>仅2023期初有效</t>
        </is>
      </c>
    </row>
    <row r="226">
      <c r="A226" t="inlineStr">
        <is>
          <t>IND</t>
        </is>
      </c>
      <c r="D226" s="12" t="n">
        <v>2025</v>
      </c>
      <c r="E226" t="inlineStr">
        <is>
          <t>ACTUAL</t>
        </is>
      </c>
      <c r="F226" s="5" t="inlineStr">
        <is>
          <t>open_re</t>
        </is>
      </c>
      <c r="G226" s="13" t="n">
        <v>-4000</v>
      </c>
      <c r="H226" t="inlineStr">
        <is>
          <t>假设初始化</t>
        </is>
      </c>
      <c r="I226" t="inlineStr">
        <is>
          <t>仅2023期初有效</t>
        </is>
      </c>
    </row>
    <row r="227">
      <c r="A227" t="inlineStr">
        <is>
          <t>IND</t>
        </is>
      </c>
      <c r="D227" s="12" t="n">
        <v>2025</v>
      </c>
      <c r="E227" t="inlineStr">
        <is>
          <t>ACTUAL</t>
        </is>
      </c>
      <c r="F227" s="5" t="inlineStr">
        <is>
          <t>open_pi</t>
        </is>
      </c>
      <c r="G227" s="13" t="n">
        <v>18000</v>
      </c>
      <c r="H227" t="inlineStr">
        <is>
          <t>假设初始化</t>
        </is>
      </c>
      <c r="I227" t="inlineStr">
        <is>
          <t>仅2023期初有效</t>
        </is>
      </c>
    </row>
    <row r="228">
      <c r="A228" t="inlineStr">
        <is>
          <t>TOC</t>
        </is>
      </c>
      <c r="D228" s="12" t="n">
        <v>2025</v>
      </c>
      <c r="E228" t="inlineStr">
        <is>
          <t>ACTUAL</t>
        </is>
      </c>
      <c r="F228" s="5" t="inlineStr">
        <is>
          <t>open_re</t>
        </is>
      </c>
      <c r="G228" s="13" t="n">
        <v>-3000</v>
      </c>
      <c r="H228" t="inlineStr">
        <is>
          <t>假设初始化</t>
        </is>
      </c>
      <c r="I228" t="inlineStr">
        <is>
          <t>仅2023期初有效</t>
        </is>
      </c>
    </row>
    <row r="229">
      <c r="A229" t="inlineStr">
        <is>
          <t>TOC</t>
        </is>
      </c>
      <c r="D229" s="12" t="n">
        <v>2025</v>
      </c>
      <c r="E229" t="inlineStr">
        <is>
          <t>ACTUAL</t>
        </is>
      </c>
      <c r="F229" s="5" t="inlineStr">
        <is>
          <t>open_pi</t>
        </is>
      </c>
      <c r="G229" s="13" t="n">
        <v>10000</v>
      </c>
      <c r="H229" t="inlineStr">
        <is>
          <t>假设初始化</t>
        </is>
      </c>
      <c r="I229" t="inlineStr">
        <is>
          <t>仅2023期初有效</t>
        </is>
      </c>
    </row>
    <row r="230">
      <c r="A230" t="inlineStr">
        <is>
          <t>HOLD</t>
        </is>
      </c>
      <c r="D230" s="12" t="n">
        <v>2025</v>
      </c>
      <c r="E230" t="inlineStr">
        <is>
          <t>ACTUAL</t>
        </is>
      </c>
      <c r="F230" s="5" t="inlineStr">
        <is>
          <t>open_fa</t>
        </is>
      </c>
      <c r="G230" s="13" t="n">
        <v>45000</v>
      </c>
      <c r="H230" t="inlineStr">
        <is>
          <t>假设初始化</t>
        </is>
      </c>
      <c r="I230" t="inlineStr">
        <is>
          <t>训练卡</t>
        </is>
      </c>
    </row>
    <row r="231">
      <c r="A231" t="inlineStr">
        <is>
          <t>CLOUD</t>
        </is>
      </c>
      <c r="D231" s="12" t="n">
        <v>2025</v>
      </c>
      <c r="E231" t="inlineStr">
        <is>
          <t>ACTUAL</t>
        </is>
      </c>
      <c r="F231" s="5" t="inlineStr">
        <is>
          <t>open_fa</t>
        </is>
      </c>
      <c r="G231" s="13" t="n">
        <v>15000</v>
      </c>
      <c r="H231" t="inlineStr">
        <is>
          <t>假设初始化</t>
        </is>
      </c>
      <c r="I231" t="inlineStr">
        <is>
          <t>推理卡</t>
        </is>
      </c>
    </row>
    <row r="232">
      <c r="A232" t="inlineStr">
        <is>
          <t>HOLD</t>
        </is>
      </c>
      <c r="D232" s="12" t="n">
        <v>2025</v>
      </c>
      <c r="E232" t="inlineStr">
        <is>
          <t>ACTUAL</t>
        </is>
      </c>
      <c r="F232" s="5" t="inlineStr">
        <is>
          <t>open_lt_inv</t>
        </is>
      </c>
      <c r="G232" s="13" t="n">
        <v>23000</v>
      </c>
      <c r="H232" t="inlineStr">
        <is>
          <t>假设初始化</t>
        </is>
      </c>
      <c r="I232" t="inlineStr">
        <is>
          <t>期初长投合计（万）</t>
        </is>
      </c>
    </row>
    <row r="233">
      <c r="A233" t="inlineStr">
        <is>
          <t>CLOUD</t>
        </is>
      </c>
      <c r="D233" s="12" t="n">
        <v>2025</v>
      </c>
      <c r="E233" t="inlineStr">
        <is>
          <t>ACTUAL</t>
        </is>
      </c>
      <c r="F233" s="5" t="inlineStr">
        <is>
          <t>deferred_rate</t>
        </is>
      </c>
      <c r="G233" s="13" t="n">
        <v>0.05</v>
      </c>
      <c r="H233" t="inlineStr">
        <is>
          <t>假设初始化</t>
        </is>
      </c>
      <c r="I233" t="inlineStr">
        <is>
          <t>递延收入率</t>
        </is>
      </c>
    </row>
    <row r="234">
      <c r="A234" t="inlineStr">
        <is>
          <t>IND</t>
        </is>
      </c>
      <c r="D234" s="12" t="n">
        <v>2025</v>
      </c>
      <c r="E234" t="inlineStr">
        <is>
          <t>ACTUAL</t>
        </is>
      </c>
      <c r="F234" s="5" t="inlineStr">
        <is>
          <t>deferred_rate</t>
        </is>
      </c>
      <c r="G234" s="13" t="n">
        <v>0.08</v>
      </c>
      <c r="H234" t="inlineStr">
        <is>
          <t>假设初始化</t>
        </is>
      </c>
      <c r="I234" t="inlineStr">
        <is>
          <t>递延收入率</t>
        </is>
      </c>
    </row>
    <row r="235">
      <c r="A235" t="inlineStr">
        <is>
          <t>TOC</t>
        </is>
      </c>
      <c r="D235" s="12" t="n">
        <v>2025</v>
      </c>
      <c r="E235" t="inlineStr">
        <is>
          <t>ACTUAL</t>
        </is>
      </c>
      <c r="F235" s="5" t="inlineStr">
        <is>
          <t>deferred_rate</t>
        </is>
      </c>
      <c r="G235" s="13" t="n">
        <v>0.2</v>
      </c>
      <c r="H235" t="inlineStr">
        <is>
          <t>假设初始化</t>
        </is>
      </c>
      <c r="I235" t="inlineStr">
        <is>
          <t>递延收入率</t>
        </is>
      </c>
    </row>
    <row r="236">
      <c r="A236" t="inlineStr">
        <is>
          <t>HOLD</t>
        </is>
      </c>
      <c r="D236" s="12" t="n">
        <v>2025</v>
      </c>
      <c r="E236" t="inlineStr">
        <is>
          <t>ACTUAL</t>
        </is>
      </c>
      <c r="F236" s="5" t="inlineStr">
        <is>
          <t>capex_gpu</t>
        </is>
      </c>
      <c r="G236" s="13" t="n">
        <v>30000</v>
      </c>
      <c r="H236" t="inlineStr">
        <is>
          <t>假设初始化</t>
        </is>
      </c>
      <c r="I236" t="inlineStr">
        <is>
          <t>训练卡</t>
        </is>
      </c>
    </row>
    <row r="237">
      <c r="A237" t="inlineStr">
        <is>
          <t>CLOUD</t>
        </is>
      </c>
      <c r="D237" s="12" t="n">
        <v>2025</v>
      </c>
      <c r="E237" t="inlineStr">
        <is>
          <t>ACTUAL</t>
        </is>
      </c>
      <c r="F237" s="5" t="inlineStr">
        <is>
          <t>capex_gpu</t>
        </is>
      </c>
      <c r="G237" s="13" t="n">
        <v>30000</v>
      </c>
      <c r="H237" t="inlineStr">
        <is>
          <t>假设初始化</t>
        </is>
      </c>
      <c r="I237" t="inlineStr">
        <is>
          <t>推理卡</t>
        </is>
      </c>
    </row>
    <row r="238">
      <c r="A238" t="inlineStr">
        <is>
          <t>GROUP</t>
        </is>
      </c>
      <c r="D238" s="14" t="n">
        <v>2026</v>
      </c>
      <c r="E238" t="inlineStr">
        <is>
          <t>BUDGET</t>
        </is>
      </c>
      <c r="F238" s="5" t="inlineStr">
        <is>
          <t>tax_rate</t>
        </is>
      </c>
      <c r="G238" s="13" t="n">
        <v>0.15</v>
      </c>
      <c r="H238" t="inlineStr">
        <is>
          <t>假设初始化</t>
        </is>
      </c>
      <c r="I238" t="inlineStr">
        <is>
          <t>所得税率</t>
        </is>
      </c>
    </row>
    <row r="239">
      <c r="A239" t="inlineStr">
        <is>
          <t>GROUP</t>
        </is>
      </c>
      <c r="D239" s="14" t="n">
        <v>2026</v>
      </c>
      <c r="E239" t="inlineStr">
        <is>
          <t>BUDGET</t>
        </is>
      </c>
      <c r="F239" s="5" t="inlineStr">
        <is>
          <t>dso_days</t>
        </is>
      </c>
      <c r="G239" s="13" t="n">
        <v>60</v>
      </c>
      <c r="H239" t="inlineStr">
        <is>
          <t>假设初始化</t>
        </is>
      </c>
      <c r="I239" t="inlineStr">
        <is>
          <t>应收账期（天）</t>
        </is>
      </c>
    </row>
    <row r="240">
      <c r="A240" t="inlineStr">
        <is>
          <t>GROUP</t>
        </is>
      </c>
      <c r="D240" s="14" t="n">
        <v>2026</v>
      </c>
      <c r="E240" t="inlineStr">
        <is>
          <t>BUDGET</t>
        </is>
      </c>
      <c r="F240" s="5" t="inlineStr">
        <is>
          <t>dpo_days</t>
        </is>
      </c>
      <c r="G240" s="13" t="n">
        <v>45</v>
      </c>
      <c r="H240" t="inlineStr">
        <is>
          <t>假设初始化</t>
        </is>
      </c>
      <c r="I240" t="inlineStr">
        <is>
          <t>应付账期（天）</t>
        </is>
      </c>
    </row>
    <row r="241">
      <c r="A241" t="inlineStr">
        <is>
          <t>GROUP</t>
        </is>
      </c>
      <c r="D241" s="14" t="n">
        <v>2026</v>
      </c>
      <c r="E241" t="inlineStr">
        <is>
          <t>BUDGET</t>
        </is>
      </c>
      <c r="F241" s="5" t="inlineStr">
        <is>
          <t>ic_days</t>
        </is>
      </c>
      <c r="G241" s="13" t="n">
        <v>60</v>
      </c>
      <c r="H241" t="inlineStr">
        <is>
          <t>假设初始化</t>
        </is>
      </c>
      <c r="I241" t="inlineStr">
        <is>
          <t>内部往来账期（天）</t>
        </is>
      </c>
    </row>
    <row r="242">
      <c r="A242" t="inlineStr">
        <is>
          <t>GROUP</t>
        </is>
      </c>
      <c r="D242" s="14" t="n">
        <v>2026</v>
      </c>
      <c r="E242" t="inlineStr">
        <is>
          <t>BUDGET</t>
        </is>
      </c>
      <c r="F242" s="5" t="inlineStr">
        <is>
          <t>wacc</t>
        </is>
      </c>
      <c r="G242" s="13" t="n">
        <v>0.1</v>
      </c>
      <c r="H242" t="inlineStr">
        <is>
          <t>假设初始化</t>
        </is>
      </c>
      <c r="I242" t="inlineStr">
        <is>
          <t>WACC</t>
        </is>
      </c>
    </row>
    <row r="243">
      <c r="A243" t="inlineStr">
        <is>
          <t>GROUP</t>
        </is>
      </c>
      <c r="C243" t="inlineStr">
        <is>
          <t>华东</t>
        </is>
      </c>
      <c r="D243" s="14" t="n">
        <v>2026</v>
      </c>
      <c r="E243" t="inlineStr">
        <is>
          <t>BUDGET</t>
        </is>
      </c>
      <c r="F243" s="5" t="inlineStr">
        <is>
          <t>region_mix</t>
        </is>
      </c>
      <c r="G243" s="13" t="n">
        <v>0.29</v>
      </c>
      <c r="H243" t="inlineStr">
        <is>
          <t>行业研究</t>
        </is>
      </c>
      <c r="I243" t="inlineStr">
        <is>
          <t>收入地区占比</t>
        </is>
      </c>
    </row>
    <row r="244">
      <c r="A244" t="inlineStr">
        <is>
          <t>GROUP</t>
        </is>
      </c>
      <c r="C244" t="inlineStr">
        <is>
          <t>华北</t>
        </is>
      </c>
      <c r="D244" s="14" t="n">
        <v>2026</v>
      </c>
      <c r="E244" t="inlineStr">
        <is>
          <t>BUDGET</t>
        </is>
      </c>
      <c r="F244" s="5" t="inlineStr">
        <is>
          <t>region_mix</t>
        </is>
      </c>
      <c r="G244" s="13" t="n">
        <v>0.28</v>
      </c>
      <c r="H244" t="inlineStr">
        <is>
          <t>行业研究</t>
        </is>
      </c>
      <c r="I244" t="inlineStr">
        <is>
          <t>收入地区占比</t>
        </is>
      </c>
    </row>
    <row r="245">
      <c r="A245" t="inlineStr">
        <is>
          <t>GROUP</t>
        </is>
      </c>
      <c r="C245" t="inlineStr">
        <is>
          <t>华南</t>
        </is>
      </c>
      <c r="D245" s="14" t="n">
        <v>2026</v>
      </c>
      <c r="E245" t="inlineStr">
        <is>
          <t>BUDGET</t>
        </is>
      </c>
      <c r="F245" s="5" t="inlineStr">
        <is>
          <t>region_mix</t>
        </is>
      </c>
      <c r="G245" s="13" t="n">
        <v>0.2</v>
      </c>
      <c r="H245" t="inlineStr">
        <is>
          <t>行业研究</t>
        </is>
      </c>
      <c r="I245" t="inlineStr">
        <is>
          <t>收入地区占比</t>
        </is>
      </c>
    </row>
    <row r="246">
      <c r="A246" t="inlineStr">
        <is>
          <t>GROUP</t>
        </is>
      </c>
      <c r="C246" t="inlineStr">
        <is>
          <t>海外</t>
        </is>
      </c>
      <c r="D246" s="14" t="n">
        <v>2026</v>
      </c>
      <c r="E246" t="inlineStr">
        <is>
          <t>BUDGET</t>
        </is>
      </c>
      <c r="F246" s="5" t="inlineStr">
        <is>
          <t>region_mix</t>
        </is>
      </c>
      <c r="G246" s="13" t="n">
        <v>0.23</v>
      </c>
      <c r="H246" t="inlineStr">
        <is>
          <t>行业研究</t>
        </is>
      </c>
      <c r="I246" t="inlineStr">
        <is>
          <t>收入地区占比</t>
        </is>
      </c>
    </row>
    <row r="247">
      <c r="A247" t="inlineStr">
        <is>
          <t>CLOUD</t>
        </is>
      </c>
      <c r="D247" s="14" t="n">
        <v>2026</v>
      </c>
      <c r="E247" t="inlineStr">
        <is>
          <t>BUDGET</t>
        </is>
      </c>
      <c r="F247" s="5" t="inlineStr">
        <is>
          <t>token_volume_day</t>
        </is>
      </c>
      <c r="G247" s="13" t="n">
        <v>650</v>
      </c>
      <c r="H247" t="inlineStr">
        <is>
          <t>假设初始化</t>
        </is>
      </c>
      <c r="I247" t="inlineStr">
        <is>
          <t>日均 token 消耗（B/day）</t>
        </is>
      </c>
    </row>
    <row r="248">
      <c r="A248" t="inlineStr">
        <is>
          <t>CLOUD</t>
        </is>
      </c>
      <c r="D248" s="14" t="n">
        <v>2026</v>
      </c>
      <c r="E248" t="inlineStr">
        <is>
          <t>BUDGET</t>
        </is>
      </c>
      <c r="F248" s="5" t="inlineStr">
        <is>
          <t>api_price</t>
        </is>
      </c>
      <c r="G248" s="13" t="n">
        <v>4.6</v>
      </c>
      <c r="H248" t="inlineStr">
        <is>
          <t>假设初始化</t>
        </is>
      </c>
      <c r="I248" t="inlineStr">
        <is>
          <t>综合单价（元/M tokens）</t>
        </is>
      </c>
    </row>
    <row r="249">
      <c r="A249" t="inlineStr">
        <is>
          <t>CLOUD</t>
        </is>
      </c>
      <c r="D249" s="14" t="n">
        <v>2026</v>
      </c>
      <c r="E249" t="inlineStr">
        <is>
          <t>BUDGET</t>
        </is>
      </c>
      <c r="F249" s="5" t="inlineStr">
        <is>
          <t>inference_ucost</t>
        </is>
      </c>
      <c r="G249" s="13" t="n">
        <v>1.72</v>
      </c>
      <c r="H249" t="inlineStr">
        <is>
          <t>假设初始化</t>
        </is>
      </c>
      <c r="I249" t="inlineStr">
        <is>
          <t>推理单位成本（元/M tok）</t>
        </is>
      </c>
    </row>
    <row r="250">
      <c r="A250" t="inlineStr">
        <is>
          <t>CLOUD</t>
        </is>
      </c>
      <c r="D250" s="14" t="n">
        <v>2026</v>
      </c>
      <c r="E250" t="inlineStr">
        <is>
          <t>BUDGET</t>
        </is>
      </c>
      <c r="F250" s="5" t="inlineStr">
        <is>
          <t>bandwidth_fee</t>
        </is>
      </c>
      <c r="G250" s="13" t="n">
        <v>2200</v>
      </c>
      <c r="H250" t="inlineStr">
        <is>
          <t>假设初始化</t>
        </is>
      </c>
      <c r="I250" t="inlineStr">
        <is>
          <t>带宽机房费用（万）</t>
        </is>
      </c>
    </row>
    <row r="251">
      <c r="A251" t="inlineStr">
        <is>
          <t>CLOUD</t>
        </is>
      </c>
      <c r="D251" s="14" t="n">
        <v>2026</v>
      </c>
      <c r="E251" t="inlineStr">
        <is>
          <t>BUDGET</t>
        </is>
      </c>
      <c r="F251" s="5" t="inlineStr">
        <is>
          <t>customers</t>
        </is>
      </c>
      <c r="G251" s="13" t="n">
        <v>7000</v>
      </c>
      <c r="H251" t="inlineStr">
        <is>
          <t>假设初始化</t>
        </is>
      </c>
      <c r="I251" t="inlineStr">
        <is>
          <t>付费客户数（家）</t>
        </is>
      </c>
    </row>
    <row r="252">
      <c r="A252" t="inlineStr">
        <is>
          <t>CLOUD</t>
        </is>
      </c>
      <c r="D252" s="14" t="n">
        <v>2026</v>
      </c>
      <c r="E252" t="inlineStr">
        <is>
          <t>BUDGET</t>
        </is>
      </c>
      <c r="F252" s="5" t="inlineStr">
        <is>
          <t>churn_m</t>
        </is>
      </c>
      <c r="G252" s="13" t="n">
        <v>0.012</v>
      </c>
      <c r="H252" t="inlineStr">
        <is>
          <t>假设初始化</t>
        </is>
      </c>
      <c r="I252" t="inlineStr">
        <is>
          <t>月流失率</t>
        </is>
      </c>
    </row>
    <row r="253">
      <c r="A253" t="inlineStr">
        <is>
          <t>IND</t>
        </is>
      </c>
      <c r="D253" s="14" t="n">
        <v>2026</v>
      </c>
      <c r="E253" t="inlineStr">
        <is>
          <t>BUDGET</t>
        </is>
      </c>
      <c r="F253" s="5" t="inlineStr">
        <is>
          <t>projects_pvt</t>
        </is>
      </c>
      <c r="G253" s="13" t="n">
        <v>32</v>
      </c>
      <c r="H253" t="inlineStr">
        <is>
          <t>假设初始化</t>
        </is>
      </c>
      <c r="I253" t="inlineStr">
        <is>
          <t>私有化项目数（个）</t>
        </is>
      </c>
    </row>
    <row r="254">
      <c r="A254" t="inlineStr">
        <is>
          <t>IND</t>
        </is>
      </c>
      <c r="D254" s="14" t="n">
        <v>2026</v>
      </c>
      <c r="E254" t="inlineStr">
        <is>
          <t>BUDGET</t>
        </is>
      </c>
      <c r="F254" s="5" t="inlineStr">
        <is>
          <t>avg_contract</t>
        </is>
      </c>
      <c r="G254" s="13" t="n">
        <v>1400</v>
      </c>
      <c r="H254" t="inlineStr">
        <is>
          <t>假设初始化</t>
        </is>
      </c>
      <c r="I254" t="inlineStr">
        <is>
          <t>平均合同额（万）</t>
        </is>
      </c>
    </row>
    <row r="255">
      <c r="A255" t="inlineStr">
        <is>
          <t>IND</t>
        </is>
      </c>
      <c r="D255" s="14" t="n">
        <v>2026</v>
      </c>
      <c r="E255" t="inlineStr">
        <is>
          <t>BUDGET</t>
        </is>
      </c>
      <c r="F255" s="5" t="inlineStr">
        <is>
          <t>subscribers_sol</t>
        </is>
      </c>
      <c r="G255" s="13" t="n">
        <v>105</v>
      </c>
      <c r="H255" t="inlineStr">
        <is>
          <t>假设初始化</t>
        </is>
      </c>
      <c r="I255" t="inlineStr">
        <is>
          <t>解决方案签约客户（累计）</t>
        </is>
      </c>
    </row>
    <row r="256">
      <c r="A256" t="inlineStr">
        <is>
          <t>IND</t>
        </is>
      </c>
      <c r="D256" s="14" t="n">
        <v>2026</v>
      </c>
      <c r="E256" t="inlineStr">
        <is>
          <t>BUDGET</t>
        </is>
      </c>
      <c r="F256" s="5" t="inlineStr">
        <is>
          <t>sub_fee</t>
        </is>
      </c>
      <c r="G256" s="13" t="n">
        <v>110</v>
      </c>
      <c r="H256" t="inlineStr">
        <is>
          <t>假设初始化</t>
        </is>
      </c>
      <c r="I256" t="inlineStr">
        <is>
          <t>解决方案年费（万）</t>
        </is>
      </c>
    </row>
    <row r="257">
      <c r="A257" t="inlineStr">
        <is>
          <t>IND</t>
        </is>
      </c>
      <c r="D257" s="14" t="n">
        <v>2026</v>
      </c>
      <c r="E257" t="inlineStr">
        <is>
          <t>BUDGET</t>
        </is>
      </c>
      <c r="F257" s="5" t="inlineStr">
        <is>
          <t>cogs_rate_pvt</t>
        </is>
      </c>
      <c r="G257" s="13" t="n">
        <v>0.61</v>
      </c>
      <c r="H257" t="inlineStr">
        <is>
          <t>假设初始化</t>
        </is>
      </c>
      <c r="I257" t="inlineStr">
        <is>
          <t>私有化成本率</t>
        </is>
      </c>
    </row>
    <row r="258">
      <c r="A258" t="inlineStr">
        <is>
          <t>IND</t>
        </is>
      </c>
      <c r="D258" s="14" t="n">
        <v>2026</v>
      </c>
      <c r="E258" t="inlineStr">
        <is>
          <t>BUDGET</t>
        </is>
      </c>
      <c r="F258" s="5" t="inlineStr">
        <is>
          <t>cogs_rate_sol</t>
        </is>
      </c>
      <c r="G258" s="13" t="n">
        <v>0.42</v>
      </c>
      <c r="H258" t="inlineStr">
        <is>
          <t>假设初始化</t>
        </is>
      </c>
      <c r="I258" t="inlineStr">
        <is>
          <t>解决方案成本率</t>
        </is>
      </c>
    </row>
    <row r="259">
      <c r="A259" t="inlineStr">
        <is>
          <t>TOC</t>
        </is>
      </c>
      <c r="D259" s="14" t="n">
        <v>2026</v>
      </c>
      <c r="E259" t="inlineStr">
        <is>
          <t>BUDGET</t>
        </is>
      </c>
      <c r="F259" s="5" t="inlineStr">
        <is>
          <t>mau_w</t>
        </is>
      </c>
      <c r="G259" s="13" t="n">
        <v>1050</v>
      </c>
      <c r="H259" t="inlineStr">
        <is>
          <t>假设初始化</t>
        </is>
      </c>
      <c r="I259" t="inlineStr">
        <is>
          <t>MAU（万人）</t>
        </is>
      </c>
    </row>
    <row r="260">
      <c r="A260" t="inlineStr">
        <is>
          <t>TOC</t>
        </is>
      </c>
      <c r="D260" s="14" t="n">
        <v>2026</v>
      </c>
      <c r="E260" t="inlineStr">
        <is>
          <t>BUDGET</t>
        </is>
      </c>
      <c r="F260" s="5" t="inlineStr">
        <is>
          <t>pay_rate</t>
        </is>
      </c>
      <c r="G260" s="13" t="n">
        <v>0.04</v>
      </c>
      <c r="H260" t="inlineStr">
        <is>
          <t>假设初始化</t>
        </is>
      </c>
      <c r="I260" t="inlineStr">
        <is>
          <t>付费转化率</t>
        </is>
      </c>
    </row>
    <row r="261">
      <c r="A261" t="inlineStr">
        <is>
          <t>TOC</t>
        </is>
      </c>
      <c r="D261" s="14" t="n">
        <v>2026</v>
      </c>
      <c r="E261" t="inlineStr">
        <is>
          <t>BUDGET</t>
        </is>
      </c>
      <c r="F261" s="5" t="inlineStr">
        <is>
          <t>arppu</t>
        </is>
      </c>
      <c r="G261" s="13" t="n">
        <v>36</v>
      </c>
      <c r="H261" t="inlineStr">
        <is>
          <t>假设初始化</t>
        </is>
      </c>
      <c r="I261" t="inlineStr">
        <is>
          <t>ARPPU（元/付费/月）</t>
        </is>
      </c>
    </row>
    <row r="262">
      <c r="A262" t="inlineStr">
        <is>
          <t>TOC</t>
        </is>
      </c>
      <c r="D262" s="14" t="n">
        <v>2026</v>
      </c>
      <c r="E262" t="inlineStr">
        <is>
          <t>BUDGET</t>
        </is>
      </c>
      <c r="F262" s="5" t="inlineStr">
        <is>
          <t>ads_rev</t>
        </is>
      </c>
      <c r="G262" s="13" t="n">
        <v>1600</v>
      </c>
      <c r="H262" t="inlineStr">
        <is>
          <t>假设初始化</t>
        </is>
      </c>
      <c r="I262" t="inlineStr">
        <is>
          <t>广告收入（万）</t>
        </is>
      </c>
    </row>
    <row r="263">
      <c r="A263" t="inlineStr">
        <is>
          <t>TOC</t>
        </is>
      </c>
      <c r="D263" s="14" t="n">
        <v>2026</v>
      </c>
      <c r="E263" t="inlineStr">
        <is>
          <t>BUDGET</t>
        </is>
      </c>
      <c r="F263" s="5" t="inlineStr">
        <is>
          <t>ucost_toc</t>
        </is>
      </c>
      <c r="G263" s="13" t="n">
        <v>0.95</v>
      </c>
      <c r="H263" t="inlineStr">
        <is>
          <t>假设初始化</t>
        </is>
      </c>
      <c r="I263" t="inlineStr">
        <is>
          <t>单位推理+带宽成本（元/MAU/月）</t>
        </is>
      </c>
    </row>
    <row r="264">
      <c r="A264" t="inlineStr">
        <is>
          <t>TOC</t>
        </is>
      </c>
      <c r="D264" s="14" t="n">
        <v>2026</v>
      </c>
      <c r="E264" t="inlineStr">
        <is>
          <t>BUDGET</t>
        </is>
      </c>
      <c r="F264" s="5" t="inlineStr">
        <is>
          <t>cac</t>
        </is>
      </c>
      <c r="G264" s="13" t="n">
        <v>14</v>
      </c>
      <c r="H264" t="inlineStr">
        <is>
          <t>投放实测</t>
        </is>
      </c>
      <c r="I264" t="inlineStr">
        <is>
          <t>获客成本（元/新增用户）</t>
        </is>
      </c>
    </row>
    <row r="265">
      <c r="A265" t="inlineStr">
        <is>
          <t>TOC</t>
        </is>
      </c>
      <c r="D265" s="14" t="n">
        <v>2026</v>
      </c>
      <c r="E265" t="inlineStr">
        <is>
          <t>BUDGET</t>
        </is>
      </c>
      <c r="F265" s="5" t="inlineStr">
        <is>
          <t>new_user_mult</t>
        </is>
      </c>
      <c r="G265" s="13" t="n">
        <v>1.5</v>
      </c>
      <c r="H265" t="inlineStr">
        <is>
          <t>假设初始化</t>
        </is>
      </c>
      <c r="I265" t="inlineStr">
        <is>
          <t>新增用户=MAU增量×</t>
        </is>
      </c>
    </row>
    <row r="266">
      <c r="A266" t="inlineStr">
        <is>
          <t>CLOUD</t>
        </is>
      </c>
      <c r="D266" s="14" t="n">
        <v>2026</v>
      </c>
      <c r="E266" t="inlineStr">
        <is>
          <t>BUDGET</t>
        </is>
      </c>
      <c r="F266" s="5" t="inlineStr">
        <is>
          <t>headcount_rd</t>
        </is>
      </c>
      <c r="G266" s="13" t="n">
        <v>400</v>
      </c>
      <c r="H266" t="inlineStr">
        <is>
          <t>假设初始化</t>
        </is>
      </c>
      <c r="I266" t="inlineStr">
        <is>
          <t>研发编制（人）</t>
        </is>
      </c>
    </row>
    <row r="267">
      <c r="A267" t="inlineStr">
        <is>
          <t>CLOUD</t>
        </is>
      </c>
      <c r="D267" s="14" t="n">
        <v>2026</v>
      </c>
      <c r="E267" t="inlineStr">
        <is>
          <t>BUDGET</t>
        </is>
      </c>
      <c r="F267" s="5" t="inlineStr">
        <is>
          <t>salary_rd</t>
        </is>
      </c>
      <c r="G267" s="13" t="n">
        <v>70</v>
      </c>
      <c r="H267" t="inlineStr">
        <is>
          <t>假设初始化</t>
        </is>
      </c>
      <c r="I267" t="inlineStr">
        <is>
          <t>研发人均全成本（万/年）</t>
        </is>
      </c>
    </row>
    <row r="268">
      <c r="A268" t="inlineStr">
        <is>
          <t>CLOUD</t>
        </is>
      </c>
      <c r="D268" s="14" t="n">
        <v>2026</v>
      </c>
      <c r="E268" t="inlineStr">
        <is>
          <t>BUDGET</t>
        </is>
      </c>
      <c r="F268" s="5" t="inlineStr">
        <is>
          <t>headcount_sales</t>
        </is>
      </c>
      <c r="G268" s="13" t="n">
        <v>110</v>
      </c>
      <c r="H268" t="inlineStr">
        <is>
          <t>假设初始化</t>
        </is>
      </c>
      <c r="I268" t="inlineStr">
        <is>
          <t>销售编制（人）</t>
        </is>
      </c>
    </row>
    <row r="269">
      <c r="A269" t="inlineStr">
        <is>
          <t>CLOUD</t>
        </is>
      </c>
      <c r="D269" s="14" t="n">
        <v>2026</v>
      </c>
      <c r="E269" t="inlineStr">
        <is>
          <t>BUDGET</t>
        </is>
      </c>
      <c r="F269" s="5" t="inlineStr">
        <is>
          <t>salary_sales</t>
        </is>
      </c>
      <c r="G269" s="13" t="n">
        <v>60</v>
      </c>
      <c r="H269" t="inlineStr">
        <is>
          <t>假设初始化</t>
        </is>
      </c>
      <c r="I269" t="inlineStr">
        <is>
          <t>销售人均全成本（万/年）</t>
        </is>
      </c>
    </row>
    <row r="270">
      <c r="A270" t="inlineStr">
        <is>
          <t>CLOUD</t>
        </is>
      </c>
      <c r="D270" s="14" t="n">
        <v>2026</v>
      </c>
      <c r="E270" t="inlineStr">
        <is>
          <t>BUDGET</t>
        </is>
      </c>
      <c r="F270" s="5" t="inlineStr">
        <is>
          <t>headcount_gna</t>
        </is>
      </c>
      <c r="G270" s="13" t="n">
        <v>50</v>
      </c>
      <c r="H270" t="inlineStr">
        <is>
          <t>假设初始化</t>
        </is>
      </c>
      <c r="I270" t="inlineStr">
        <is>
          <t>管理编制（人）</t>
        </is>
      </c>
    </row>
    <row r="271">
      <c r="A271" t="inlineStr">
        <is>
          <t>CLOUD</t>
        </is>
      </c>
      <c r="D271" s="14" t="n">
        <v>2026</v>
      </c>
      <c r="E271" t="inlineStr">
        <is>
          <t>BUDGET</t>
        </is>
      </c>
      <c r="F271" s="5" t="inlineStr">
        <is>
          <t>salary_gna</t>
        </is>
      </c>
      <c r="G271" s="13" t="n">
        <v>55</v>
      </c>
      <c r="H271" t="inlineStr">
        <is>
          <t>假设初始化</t>
        </is>
      </c>
      <c r="I271" t="inlineStr">
        <is>
          <t>管理人均全成本（万/年）</t>
        </is>
      </c>
    </row>
    <row r="272">
      <c r="A272" t="inlineStr">
        <is>
          <t>IND</t>
        </is>
      </c>
      <c r="D272" s="14" t="n">
        <v>2026</v>
      </c>
      <c r="E272" t="inlineStr">
        <is>
          <t>BUDGET</t>
        </is>
      </c>
      <c r="F272" s="5" t="inlineStr">
        <is>
          <t>headcount_rd</t>
        </is>
      </c>
      <c r="G272" s="13" t="n">
        <v>130</v>
      </c>
      <c r="H272" t="inlineStr">
        <is>
          <t>假设初始化</t>
        </is>
      </c>
      <c r="I272" t="inlineStr">
        <is>
          <t>研发编制（人）</t>
        </is>
      </c>
    </row>
    <row r="273">
      <c r="A273" t="inlineStr">
        <is>
          <t>IND</t>
        </is>
      </c>
      <c r="D273" s="14" t="n">
        <v>2026</v>
      </c>
      <c r="E273" t="inlineStr">
        <is>
          <t>BUDGET</t>
        </is>
      </c>
      <c r="F273" s="5" t="inlineStr">
        <is>
          <t>salary_rd</t>
        </is>
      </c>
      <c r="G273" s="13" t="n">
        <v>70</v>
      </c>
      <c r="H273" t="inlineStr">
        <is>
          <t>假设初始化</t>
        </is>
      </c>
      <c r="I273" t="inlineStr">
        <is>
          <t>研发人均全成本（万/年）</t>
        </is>
      </c>
    </row>
    <row r="274">
      <c r="A274" t="inlineStr">
        <is>
          <t>IND</t>
        </is>
      </c>
      <c r="D274" s="14" t="n">
        <v>2026</v>
      </c>
      <c r="E274" t="inlineStr">
        <is>
          <t>BUDGET</t>
        </is>
      </c>
      <c r="F274" s="5" t="inlineStr">
        <is>
          <t>headcount_sales</t>
        </is>
      </c>
      <c r="G274" s="13" t="n">
        <v>65</v>
      </c>
      <c r="H274" t="inlineStr">
        <is>
          <t>假设初始化</t>
        </is>
      </c>
      <c r="I274" t="inlineStr">
        <is>
          <t>销售编制（人）</t>
        </is>
      </c>
    </row>
    <row r="275">
      <c r="A275" t="inlineStr">
        <is>
          <t>IND</t>
        </is>
      </c>
      <c r="D275" s="14" t="n">
        <v>2026</v>
      </c>
      <c r="E275" t="inlineStr">
        <is>
          <t>BUDGET</t>
        </is>
      </c>
      <c r="F275" s="5" t="inlineStr">
        <is>
          <t>salary_sales</t>
        </is>
      </c>
      <c r="G275" s="13" t="n">
        <v>60</v>
      </c>
      <c r="H275" t="inlineStr">
        <is>
          <t>假设初始化</t>
        </is>
      </c>
      <c r="I275" t="inlineStr">
        <is>
          <t>销售人均全成本（万/年）</t>
        </is>
      </c>
    </row>
    <row r="276">
      <c r="A276" t="inlineStr">
        <is>
          <t>IND</t>
        </is>
      </c>
      <c r="D276" s="14" t="n">
        <v>2026</v>
      </c>
      <c r="E276" t="inlineStr">
        <is>
          <t>BUDGET</t>
        </is>
      </c>
      <c r="F276" s="5" t="inlineStr">
        <is>
          <t>headcount_gna</t>
        </is>
      </c>
      <c r="G276" s="13" t="n">
        <v>38</v>
      </c>
      <c r="H276" t="inlineStr">
        <is>
          <t>假设初始化</t>
        </is>
      </c>
      <c r="I276" t="inlineStr">
        <is>
          <t>管理编制（人）</t>
        </is>
      </c>
    </row>
    <row r="277">
      <c r="A277" t="inlineStr">
        <is>
          <t>IND</t>
        </is>
      </c>
      <c r="D277" s="14" t="n">
        <v>2026</v>
      </c>
      <c r="E277" t="inlineStr">
        <is>
          <t>BUDGET</t>
        </is>
      </c>
      <c r="F277" s="5" t="inlineStr">
        <is>
          <t>salary_gna</t>
        </is>
      </c>
      <c r="G277" s="13" t="n">
        <v>55</v>
      </c>
      <c r="H277" t="inlineStr">
        <is>
          <t>假设初始化</t>
        </is>
      </c>
      <c r="I277" t="inlineStr">
        <is>
          <t>管理人均全成本（万/年）</t>
        </is>
      </c>
    </row>
    <row r="278">
      <c r="A278" t="inlineStr">
        <is>
          <t>TOC</t>
        </is>
      </c>
      <c r="D278" s="14" t="n">
        <v>2026</v>
      </c>
      <c r="E278" t="inlineStr">
        <is>
          <t>BUDGET</t>
        </is>
      </c>
      <c r="F278" s="5" t="inlineStr">
        <is>
          <t>headcount_rd</t>
        </is>
      </c>
      <c r="G278" s="13" t="n">
        <v>200</v>
      </c>
      <c r="H278" t="inlineStr">
        <is>
          <t>假设初始化</t>
        </is>
      </c>
      <c r="I278" t="inlineStr">
        <is>
          <t>研发编制（人）</t>
        </is>
      </c>
    </row>
    <row r="279">
      <c r="A279" t="inlineStr">
        <is>
          <t>TOC</t>
        </is>
      </c>
      <c r="D279" s="14" t="n">
        <v>2026</v>
      </c>
      <c r="E279" t="inlineStr">
        <is>
          <t>BUDGET</t>
        </is>
      </c>
      <c r="F279" s="5" t="inlineStr">
        <is>
          <t>salary_rd</t>
        </is>
      </c>
      <c r="G279" s="13" t="n">
        <v>70</v>
      </c>
      <c r="H279" t="inlineStr">
        <is>
          <t>假设初始化</t>
        </is>
      </c>
      <c r="I279" t="inlineStr">
        <is>
          <t>研发人均全成本（万/年）</t>
        </is>
      </c>
    </row>
    <row r="280">
      <c r="A280" t="inlineStr">
        <is>
          <t>TOC</t>
        </is>
      </c>
      <c r="D280" s="14" t="n">
        <v>2026</v>
      </c>
      <c r="E280" t="inlineStr">
        <is>
          <t>BUDGET</t>
        </is>
      </c>
      <c r="F280" s="5" t="inlineStr">
        <is>
          <t>headcount_sales</t>
        </is>
      </c>
      <c r="G280" s="13" t="n">
        <v>25</v>
      </c>
      <c r="H280" t="inlineStr">
        <is>
          <t>假设初始化</t>
        </is>
      </c>
      <c r="I280" t="inlineStr">
        <is>
          <t>销售编制（人）</t>
        </is>
      </c>
    </row>
    <row r="281">
      <c r="A281" t="inlineStr">
        <is>
          <t>TOC</t>
        </is>
      </c>
      <c r="D281" s="14" t="n">
        <v>2026</v>
      </c>
      <c r="E281" t="inlineStr">
        <is>
          <t>BUDGET</t>
        </is>
      </c>
      <c r="F281" s="5" t="inlineStr">
        <is>
          <t>salary_sales</t>
        </is>
      </c>
      <c r="G281" s="13" t="n">
        <v>55</v>
      </c>
      <c r="H281" t="inlineStr">
        <is>
          <t>假设初始化</t>
        </is>
      </c>
      <c r="I281" t="inlineStr">
        <is>
          <t>销售人均全成本（万/年）</t>
        </is>
      </c>
    </row>
    <row r="282">
      <c r="A282" t="inlineStr">
        <is>
          <t>TOC</t>
        </is>
      </c>
      <c r="D282" s="14" t="n">
        <v>2026</v>
      </c>
      <c r="E282" t="inlineStr">
        <is>
          <t>BUDGET</t>
        </is>
      </c>
      <c r="F282" s="5" t="inlineStr">
        <is>
          <t>headcount_gna</t>
        </is>
      </c>
      <c r="G282" s="13" t="n">
        <v>25</v>
      </c>
      <c r="H282" t="inlineStr">
        <is>
          <t>假设初始化</t>
        </is>
      </c>
      <c r="I282" t="inlineStr">
        <is>
          <t>管理编制（人）</t>
        </is>
      </c>
    </row>
    <row r="283">
      <c r="A283" t="inlineStr">
        <is>
          <t>TOC</t>
        </is>
      </c>
      <c r="D283" s="14" t="n">
        <v>2026</v>
      </c>
      <c r="E283" t="inlineStr">
        <is>
          <t>BUDGET</t>
        </is>
      </c>
      <c r="F283" s="5" t="inlineStr">
        <is>
          <t>salary_gna</t>
        </is>
      </c>
      <c r="G283" s="13" t="n">
        <v>55</v>
      </c>
      <c r="H283" t="inlineStr">
        <is>
          <t>假设初始化</t>
        </is>
      </c>
      <c r="I283" t="inlineStr">
        <is>
          <t>管理人均全成本（万/年）</t>
        </is>
      </c>
    </row>
    <row r="284">
      <c r="A284" t="inlineStr">
        <is>
          <t>HOLD</t>
        </is>
      </c>
      <c r="D284" s="14" t="n">
        <v>2026</v>
      </c>
      <c r="E284" t="inlineStr">
        <is>
          <t>BUDGET</t>
        </is>
      </c>
      <c r="F284" s="5" t="inlineStr">
        <is>
          <t>headcount_rd</t>
        </is>
      </c>
      <c r="G284" s="13" t="n">
        <v>430</v>
      </c>
      <c r="H284" t="inlineStr">
        <is>
          <t>假设初始化</t>
        </is>
      </c>
      <c r="I284" t="inlineStr">
        <is>
          <t>研发编制（人）</t>
        </is>
      </c>
    </row>
    <row r="285">
      <c r="A285" t="inlineStr">
        <is>
          <t>HOLD</t>
        </is>
      </c>
      <c r="D285" s="14" t="n">
        <v>2026</v>
      </c>
      <c r="E285" t="inlineStr">
        <is>
          <t>BUDGET</t>
        </is>
      </c>
      <c r="F285" s="5" t="inlineStr">
        <is>
          <t>headcount_gna</t>
        </is>
      </c>
      <c r="G285" s="13" t="n">
        <v>28</v>
      </c>
      <c r="H285" t="inlineStr">
        <is>
          <t>假设初始化</t>
        </is>
      </c>
      <c r="I285" t="inlineStr">
        <is>
          <t>管理编制（人）</t>
        </is>
      </c>
    </row>
    <row r="286">
      <c r="A286" t="inlineStr">
        <is>
          <t>HOLD</t>
        </is>
      </c>
      <c r="D286" s="14" t="n">
        <v>2026</v>
      </c>
      <c r="E286" t="inlineStr">
        <is>
          <t>BUDGET</t>
        </is>
      </c>
      <c r="F286" s="5" t="inlineStr">
        <is>
          <t>salary_gna</t>
        </is>
      </c>
      <c r="G286" s="13" t="n">
        <v>55</v>
      </c>
      <c r="H286" t="inlineStr">
        <is>
          <t>假设初始化</t>
        </is>
      </c>
      <c r="I286" t="inlineStr">
        <is>
          <t>管理人均全成本（万/年）</t>
        </is>
      </c>
    </row>
    <row r="287">
      <c r="A287" t="inlineStr">
        <is>
          <t>HOLD</t>
        </is>
      </c>
      <c r="D287" s="14" t="n">
        <v>2026</v>
      </c>
      <c r="E287" t="inlineStr">
        <is>
          <t>BUDGET</t>
        </is>
      </c>
      <c r="F287" s="5" t="inlineStr">
        <is>
          <t>other_rd</t>
        </is>
      </c>
      <c r="G287" s="13" t="n">
        <v>5500</v>
      </c>
      <c r="H287" t="inlineStr">
        <is>
          <t>假设初始化</t>
        </is>
      </c>
      <c r="I287" t="inlineStr">
        <is>
          <t>其他研发费用（万）</t>
        </is>
      </c>
    </row>
    <row r="288">
      <c r="A288" t="inlineStr">
        <is>
          <t>HOLD</t>
        </is>
      </c>
      <c r="D288" s="14" t="n">
        <v>2026</v>
      </c>
      <c r="E288" t="inlineStr">
        <is>
          <t>BUDGET</t>
        </is>
      </c>
      <c r="F288" s="5" t="inlineStr">
        <is>
          <t>hold_salary</t>
        </is>
      </c>
      <c r="G288" s="13" t="n">
        <v>85</v>
      </c>
      <c r="H288" t="inlineStr">
        <is>
          <t>假设初始化</t>
        </is>
      </c>
      <c r="I288" t="inlineStr">
        <is>
          <t>研究院研发人均全成本（万）</t>
        </is>
      </c>
    </row>
    <row r="289">
      <c r="A289" t="inlineStr">
        <is>
          <t>CLOUD</t>
        </is>
      </c>
      <c r="D289" s="14" t="n">
        <v>2026</v>
      </c>
      <c r="E289" t="inlineStr">
        <is>
          <t>BUDGET</t>
        </is>
      </c>
      <c r="F289" s="5" t="inlineStr">
        <is>
          <t>t1_rate</t>
        </is>
      </c>
      <c r="G289" s="13" t="n">
        <v>0.12</v>
      </c>
      <c r="H289" t="inlineStr">
        <is>
          <t>假设初始化</t>
        </is>
      </c>
      <c r="I289" t="inlineStr">
        <is>
          <t>T1 license 费率</t>
        </is>
      </c>
    </row>
    <row r="290">
      <c r="A290" t="inlineStr">
        <is>
          <t>IND</t>
        </is>
      </c>
      <c r="D290" s="14" t="n">
        <v>2026</v>
      </c>
      <c r="E290" t="inlineStr">
        <is>
          <t>BUDGET</t>
        </is>
      </c>
      <c r="F290" s="5" t="inlineStr">
        <is>
          <t>t1_rate</t>
        </is>
      </c>
      <c r="G290" s="13" t="n">
        <v>0.08</v>
      </c>
      <c r="H290" t="inlineStr">
        <is>
          <t>假设初始化</t>
        </is>
      </c>
      <c r="I290" t="inlineStr">
        <is>
          <t>T1 license 费率</t>
        </is>
      </c>
    </row>
    <row r="291">
      <c r="A291" t="inlineStr">
        <is>
          <t>TOC</t>
        </is>
      </c>
      <c r="D291" s="14" t="n">
        <v>2026</v>
      </c>
      <c r="E291" t="inlineStr">
        <is>
          <t>BUDGET</t>
        </is>
      </c>
      <c r="F291" s="5" t="inlineStr">
        <is>
          <t>t1_rate</t>
        </is>
      </c>
      <c r="G291" s="13" t="n">
        <v>0.1</v>
      </c>
      <c r="H291" t="inlineStr">
        <is>
          <t>假设初始化</t>
        </is>
      </c>
      <c r="I291" t="inlineStr">
        <is>
          <t>T1 license 费率</t>
        </is>
      </c>
    </row>
    <row r="292">
      <c r="A292" t="inlineStr">
        <is>
          <t>HOLD</t>
        </is>
      </c>
      <c r="D292" s="14" t="n">
        <v>2026</v>
      </c>
      <c r="E292" t="inlineStr">
        <is>
          <t>BUDGET</t>
        </is>
      </c>
      <c r="F292" s="5" t="inlineStr">
        <is>
          <t>t2_fee</t>
        </is>
      </c>
      <c r="G292" s="13" t="n">
        <v>6500</v>
      </c>
      <c r="H292" t="inlineStr">
        <is>
          <t>假设初始化</t>
        </is>
      </c>
      <c r="I292" t="inlineStr">
        <is>
          <t>T2 定制研发服务费（万）</t>
        </is>
      </c>
    </row>
    <row r="293">
      <c r="A293" t="inlineStr">
        <is>
          <t>GROUP</t>
        </is>
      </c>
      <c r="D293" s="14" t="n">
        <v>2026</v>
      </c>
      <c r="E293" t="inlineStr">
        <is>
          <t>BUDGET</t>
        </is>
      </c>
      <c r="F293" s="5" t="inlineStr">
        <is>
          <t>t3_share</t>
        </is>
      </c>
      <c r="G293" s="13" t="n">
        <v>0.7</v>
      </c>
      <c r="H293" t="inlineStr">
        <is>
          <t>假设初始化</t>
        </is>
      </c>
      <c r="I293" t="inlineStr">
        <is>
          <t>T3 算力结算占比</t>
        </is>
      </c>
    </row>
    <row r="294">
      <c r="A294" t="inlineStr">
        <is>
          <t>GROUP</t>
        </is>
      </c>
      <c r="D294" s="14" t="n">
        <v>2026</v>
      </c>
      <c r="E294" t="inlineStr">
        <is>
          <t>BUDGET</t>
        </is>
      </c>
      <c r="F294" s="5" t="inlineStr">
        <is>
          <t>t3_gm</t>
        </is>
      </c>
      <c r="G294" s="13" t="n">
        <v>0.45</v>
      </c>
      <c r="H294" t="inlineStr">
        <is>
          <t>假设初始化</t>
        </is>
      </c>
      <c r="I294" t="inlineStr">
        <is>
          <t>T3 云内部毛利率</t>
        </is>
      </c>
    </row>
    <row r="295">
      <c r="A295" t="inlineStr">
        <is>
          <t>GROUP</t>
        </is>
      </c>
      <c r="D295" s="14" t="n">
        <v>2026</v>
      </c>
      <c r="E295" t="inlineStr">
        <is>
          <t>BUDGET</t>
        </is>
      </c>
      <c r="F295" s="5" t="inlineStr">
        <is>
          <t>cutoff_2027</t>
        </is>
      </c>
      <c r="G295" s="13" t="n">
        <v>220</v>
      </c>
      <c r="H295" t="inlineStr">
        <is>
          <t>假设初始化</t>
        </is>
      </c>
      <c r="I295" t="inlineStr">
        <is>
          <t>cut-off 在途（万）</t>
        </is>
      </c>
    </row>
    <row r="296">
      <c r="A296" t="inlineStr">
        <is>
          <t>HOLD</t>
        </is>
      </c>
      <c r="D296" s="14" t="n">
        <v>2026</v>
      </c>
      <c r="E296" t="inlineStr">
        <is>
          <t>BUDGET</t>
        </is>
      </c>
      <c r="F296" s="5" t="inlineStr">
        <is>
          <t>equity_inject</t>
        </is>
      </c>
      <c r="G296" s="13" t="n">
        <v>90000</v>
      </c>
      <c r="H296" t="inlineStr">
        <is>
          <t>假设初始化</t>
        </is>
      </c>
      <c r="I296" t="inlineStr">
        <is>
          <t>当年新增注资（万）</t>
        </is>
      </c>
    </row>
    <row r="297">
      <c r="A297" t="inlineStr">
        <is>
          <t>CLOUD</t>
        </is>
      </c>
      <c r="D297" s="14" t="n">
        <v>2026</v>
      </c>
      <c r="E297" t="inlineStr">
        <is>
          <t>BUDGET</t>
        </is>
      </c>
      <c r="F297" s="5" t="inlineStr">
        <is>
          <t>equity_inject</t>
        </is>
      </c>
      <c r="G297" s="13" t="n">
        <v>8000</v>
      </c>
      <c r="H297" t="inlineStr">
        <is>
          <t>假设初始化</t>
        </is>
      </c>
      <c r="I297" t="inlineStr">
        <is>
          <t>当年新增注资（万）</t>
        </is>
      </c>
    </row>
    <row r="298">
      <c r="A298" t="inlineStr">
        <is>
          <t>IND</t>
        </is>
      </c>
      <c r="D298" s="14" t="n">
        <v>2026</v>
      </c>
      <c r="E298" t="inlineStr">
        <is>
          <t>BUDGET</t>
        </is>
      </c>
      <c r="F298" s="5" t="inlineStr">
        <is>
          <t>equity_inject</t>
        </is>
      </c>
      <c r="G298" s="13" t="n">
        <v>6000</v>
      </c>
      <c r="H298" t="inlineStr">
        <is>
          <t>假设初始化</t>
        </is>
      </c>
      <c r="I298" t="inlineStr">
        <is>
          <t>当年新增注资（万）</t>
        </is>
      </c>
    </row>
    <row r="299">
      <c r="A299" t="inlineStr">
        <is>
          <t>TOC</t>
        </is>
      </c>
      <c r="D299" s="14" t="n">
        <v>2026</v>
      </c>
      <c r="E299" t="inlineStr">
        <is>
          <t>BUDGET</t>
        </is>
      </c>
      <c r="F299" s="5" t="inlineStr">
        <is>
          <t>equity_inject</t>
        </is>
      </c>
      <c r="G299" s="13" t="n">
        <v>15000</v>
      </c>
      <c r="H299" t="inlineStr">
        <is>
          <t>假设初始化</t>
        </is>
      </c>
      <c r="I299" t="inlineStr">
        <is>
          <t>当年新增注资（万）</t>
        </is>
      </c>
    </row>
    <row r="300">
      <c r="A300" t="inlineStr">
        <is>
          <t>HOLD</t>
        </is>
      </c>
      <c r="D300" s="14" t="n">
        <v>2026</v>
      </c>
      <c r="E300" t="inlineStr">
        <is>
          <t>BUDGET</t>
        </is>
      </c>
      <c r="F300" s="5" t="inlineStr">
        <is>
          <t>open_re</t>
        </is>
      </c>
      <c r="G300" s="13" t="n">
        <v>-15000</v>
      </c>
      <c r="H300" t="inlineStr">
        <is>
          <t>假设初始化</t>
        </is>
      </c>
      <c r="I300" t="inlineStr">
        <is>
          <t>仅2023期初有效</t>
        </is>
      </c>
    </row>
    <row r="301">
      <c r="A301" t="inlineStr">
        <is>
          <t>HOLD</t>
        </is>
      </c>
      <c r="D301" s="14" t="n">
        <v>2026</v>
      </c>
      <c r="E301" t="inlineStr">
        <is>
          <t>BUDGET</t>
        </is>
      </c>
      <c r="F301" s="5" t="inlineStr">
        <is>
          <t>open_pi</t>
        </is>
      </c>
      <c r="G301" s="13" t="n">
        <v>120000</v>
      </c>
      <c r="H301" t="inlineStr">
        <is>
          <t>假设初始化</t>
        </is>
      </c>
      <c r="I301" t="inlineStr">
        <is>
          <t>仅2023期初有效</t>
        </is>
      </c>
    </row>
    <row r="302">
      <c r="A302" t="inlineStr">
        <is>
          <t>CLOUD</t>
        </is>
      </c>
      <c r="D302" s="14" t="n">
        <v>2026</v>
      </c>
      <c r="E302" t="inlineStr">
        <is>
          <t>BUDGET</t>
        </is>
      </c>
      <c r="F302" s="5" t="inlineStr">
        <is>
          <t>open_re</t>
        </is>
      </c>
      <c r="G302" s="13" t="n">
        <v>-8000</v>
      </c>
      <c r="H302" t="inlineStr">
        <is>
          <t>假设初始化</t>
        </is>
      </c>
      <c r="I302" t="inlineStr">
        <is>
          <t>仅2023期初有效</t>
        </is>
      </c>
    </row>
    <row r="303">
      <c r="A303" t="inlineStr">
        <is>
          <t>CLOUD</t>
        </is>
      </c>
      <c r="D303" s="14" t="n">
        <v>2026</v>
      </c>
      <c r="E303" t="inlineStr">
        <is>
          <t>BUDGET</t>
        </is>
      </c>
      <c r="F303" s="5" t="inlineStr">
        <is>
          <t>open_pi</t>
        </is>
      </c>
      <c r="G303" s="13" t="n">
        <v>33000</v>
      </c>
      <c r="H303" t="inlineStr">
        <is>
          <t>假设初始化</t>
        </is>
      </c>
      <c r="I303" t="inlineStr">
        <is>
          <t>仅2023期初有效</t>
        </is>
      </c>
    </row>
    <row r="304">
      <c r="A304" t="inlineStr">
        <is>
          <t>IND</t>
        </is>
      </c>
      <c r="D304" s="14" t="n">
        <v>2026</v>
      </c>
      <c r="E304" t="inlineStr">
        <is>
          <t>BUDGET</t>
        </is>
      </c>
      <c r="F304" s="5" t="inlineStr">
        <is>
          <t>open_re</t>
        </is>
      </c>
      <c r="G304" s="13" t="n">
        <v>-4000</v>
      </c>
      <c r="H304" t="inlineStr">
        <is>
          <t>假设初始化</t>
        </is>
      </c>
      <c r="I304" t="inlineStr">
        <is>
          <t>仅2023期初有效</t>
        </is>
      </c>
    </row>
    <row r="305">
      <c r="A305" t="inlineStr">
        <is>
          <t>IND</t>
        </is>
      </c>
      <c r="D305" s="14" t="n">
        <v>2026</v>
      </c>
      <c r="E305" t="inlineStr">
        <is>
          <t>BUDGET</t>
        </is>
      </c>
      <c r="F305" s="5" t="inlineStr">
        <is>
          <t>open_pi</t>
        </is>
      </c>
      <c r="G305" s="13" t="n">
        <v>18000</v>
      </c>
      <c r="H305" t="inlineStr">
        <is>
          <t>假设初始化</t>
        </is>
      </c>
      <c r="I305" t="inlineStr">
        <is>
          <t>仅2023期初有效</t>
        </is>
      </c>
    </row>
    <row r="306">
      <c r="A306" t="inlineStr">
        <is>
          <t>TOC</t>
        </is>
      </c>
      <c r="D306" s="14" t="n">
        <v>2026</v>
      </c>
      <c r="E306" t="inlineStr">
        <is>
          <t>BUDGET</t>
        </is>
      </c>
      <c r="F306" s="5" t="inlineStr">
        <is>
          <t>open_re</t>
        </is>
      </c>
      <c r="G306" s="13" t="n">
        <v>-3000</v>
      </c>
      <c r="H306" t="inlineStr">
        <is>
          <t>假设初始化</t>
        </is>
      </c>
      <c r="I306" t="inlineStr">
        <is>
          <t>仅2023期初有效</t>
        </is>
      </c>
    </row>
    <row r="307">
      <c r="A307" t="inlineStr">
        <is>
          <t>TOC</t>
        </is>
      </c>
      <c r="D307" s="14" t="n">
        <v>2026</v>
      </c>
      <c r="E307" t="inlineStr">
        <is>
          <t>BUDGET</t>
        </is>
      </c>
      <c r="F307" s="5" t="inlineStr">
        <is>
          <t>open_pi</t>
        </is>
      </c>
      <c r="G307" s="13" t="n">
        <v>10000</v>
      </c>
      <c r="H307" t="inlineStr">
        <is>
          <t>假设初始化</t>
        </is>
      </c>
      <c r="I307" t="inlineStr">
        <is>
          <t>仅2023期初有效</t>
        </is>
      </c>
    </row>
    <row r="308">
      <c r="A308" t="inlineStr">
        <is>
          <t>HOLD</t>
        </is>
      </c>
      <c r="D308" s="14" t="n">
        <v>2026</v>
      </c>
      <c r="E308" t="inlineStr">
        <is>
          <t>BUDGET</t>
        </is>
      </c>
      <c r="F308" s="5" t="inlineStr">
        <is>
          <t>open_fa</t>
        </is>
      </c>
      <c r="G308" s="13" t="n">
        <v>45000</v>
      </c>
      <c r="H308" t="inlineStr">
        <is>
          <t>假设初始化</t>
        </is>
      </c>
      <c r="I308" t="inlineStr">
        <is>
          <t>训练卡</t>
        </is>
      </c>
    </row>
    <row r="309">
      <c r="A309" t="inlineStr">
        <is>
          <t>CLOUD</t>
        </is>
      </c>
      <c r="D309" s="14" t="n">
        <v>2026</v>
      </c>
      <c r="E309" t="inlineStr">
        <is>
          <t>BUDGET</t>
        </is>
      </c>
      <c r="F309" s="5" t="inlineStr">
        <is>
          <t>open_fa</t>
        </is>
      </c>
      <c r="G309" s="13" t="n">
        <v>15000</v>
      </c>
      <c r="H309" t="inlineStr">
        <is>
          <t>假设初始化</t>
        </is>
      </c>
      <c r="I309" t="inlineStr">
        <is>
          <t>推理卡</t>
        </is>
      </c>
    </row>
    <row r="310">
      <c r="A310" t="inlineStr">
        <is>
          <t>HOLD</t>
        </is>
      </c>
      <c r="D310" s="14" t="n">
        <v>2026</v>
      </c>
      <c r="E310" t="inlineStr">
        <is>
          <t>BUDGET</t>
        </is>
      </c>
      <c r="F310" s="5" t="inlineStr">
        <is>
          <t>open_lt_inv</t>
        </is>
      </c>
      <c r="G310" s="13" t="n">
        <v>23000</v>
      </c>
      <c r="H310" t="inlineStr">
        <is>
          <t>假设初始化</t>
        </is>
      </c>
      <c r="I310" t="inlineStr">
        <is>
          <t>期初长投合计（万）</t>
        </is>
      </c>
    </row>
    <row r="311">
      <c r="A311" t="inlineStr">
        <is>
          <t>CLOUD</t>
        </is>
      </c>
      <c r="D311" s="14" t="n">
        <v>2026</v>
      </c>
      <c r="E311" t="inlineStr">
        <is>
          <t>BUDGET</t>
        </is>
      </c>
      <c r="F311" s="5" t="inlineStr">
        <is>
          <t>deferred_rate</t>
        </is>
      </c>
      <c r="G311" s="13" t="n">
        <v>0.05</v>
      </c>
      <c r="H311" t="inlineStr">
        <is>
          <t>假设初始化</t>
        </is>
      </c>
      <c r="I311" t="inlineStr">
        <is>
          <t>递延收入率</t>
        </is>
      </c>
    </row>
    <row r="312">
      <c r="A312" t="inlineStr">
        <is>
          <t>IND</t>
        </is>
      </c>
      <c r="D312" s="14" t="n">
        <v>2026</v>
      </c>
      <c r="E312" t="inlineStr">
        <is>
          <t>BUDGET</t>
        </is>
      </c>
      <c r="F312" s="5" t="inlineStr">
        <is>
          <t>deferred_rate</t>
        </is>
      </c>
      <c r="G312" s="13" t="n">
        <v>0.08</v>
      </c>
      <c r="H312" t="inlineStr">
        <is>
          <t>假设初始化</t>
        </is>
      </c>
      <c r="I312" t="inlineStr">
        <is>
          <t>递延收入率</t>
        </is>
      </c>
    </row>
    <row r="313">
      <c r="A313" t="inlineStr">
        <is>
          <t>TOC</t>
        </is>
      </c>
      <c r="D313" s="14" t="n">
        <v>2026</v>
      </c>
      <c r="E313" t="inlineStr">
        <is>
          <t>BUDGET</t>
        </is>
      </c>
      <c r="F313" s="5" t="inlineStr">
        <is>
          <t>deferred_rate</t>
        </is>
      </c>
      <c r="G313" s="13" t="n">
        <v>0.2</v>
      </c>
      <c r="H313" t="inlineStr">
        <is>
          <t>假设初始化</t>
        </is>
      </c>
      <c r="I313" t="inlineStr">
        <is>
          <t>递延收入率</t>
        </is>
      </c>
    </row>
    <row r="314">
      <c r="A314" t="inlineStr">
        <is>
          <t>HOLD</t>
        </is>
      </c>
      <c r="D314" s="14" t="n">
        <v>2026</v>
      </c>
      <c r="E314" t="inlineStr">
        <is>
          <t>BUDGET</t>
        </is>
      </c>
      <c r="F314" s="5" t="inlineStr">
        <is>
          <t>capex_gpu</t>
        </is>
      </c>
      <c r="G314" s="13" t="n">
        <v>15000</v>
      </c>
      <c r="H314" t="inlineStr">
        <is>
          <t>假设初始化</t>
        </is>
      </c>
      <c r="I314" t="inlineStr">
        <is>
          <t>训练卡</t>
        </is>
      </c>
    </row>
    <row r="315">
      <c r="A315" t="inlineStr">
        <is>
          <t>CLOUD</t>
        </is>
      </c>
      <c r="D315" s="14" t="n">
        <v>2026</v>
      </c>
      <c r="E315" t="inlineStr">
        <is>
          <t>BUDGET</t>
        </is>
      </c>
      <c r="F315" s="5" t="inlineStr">
        <is>
          <t>capex_gpu</t>
        </is>
      </c>
      <c r="G315" s="13" t="n">
        <v>15000</v>
      </c>
      <c r="H315" t="inlineStr">
        <is>
          <t>假设初始化</t>
        </is>
      </c>
      <c r="I315" t="inlineStr">
        <is>
          <t>推理卡</t>
        </is>
      </c>
    </row>
    <row r="316">
      <c r="A316" t="inlineStr">
        <is>
          <t>GROUP</t>
        </is>
      </c>
      <c r="D316" s="14" t="n">
        <v>2027</v>
      </c>
      <c r="E316" t="inlineStr">
        <is>
          <t>BUDGET</t>
        </is>
      </c>
      <c r="F316" s="5" t="inlineStr">
        <is>
          <t>tax_rate</t>
        </is>
      </c>
      <c r="G316" s="13" t="n">
        <v>0.15</v>
      </c>
      <c r="H316" t="inlineStr">
        <is>
          <t>假设初始化</t>
        </is>
      </c>
      <c r="I316" t="inlineStr">
        <is>
          <t>所得税率</t>
        </is>
      </c>
    </row>
    <row r="317">
      <c r="A317" t="inlineStr">
        <is>
          <t>GROUP</t>
        </is>
      </c>
      <c r="D317" s="14" t="n">
        <v>2027</v>
      </c>
      <c r="E317" t="inlineStr">
        <is>
          <t>BUDGET</t>
        </is>
      </c>
      <c r="F317" s="5" t="inlineStr">
        <is>
          <t>dso_days</t>
        </is>
      </c>
      <c r="G317" s="13" t="n">
        <v>60</v>
      </c>
      <c r="H317" t="inlineStr">
        <is>
          <t>假设初始化</t>
        </is>
      </c>
      <c r="I317" t="inlineStr">
        <is>
          <t>应收账期（天）</t>
        </is>
      </c>
    </row>
    <row r="318">
      <c r="A318" t="inlineStr">
        <is>
          <t>GROUP</t>
        </is>
      </c>
      <c r="D318" s="14" t="n">
        <v>2027</v>
      </c>
      <c r="E318" t="inlineStr">
        <is>
          <t>BUDGET</t>
        </is>
      </c>
      <c r="F318" s="5" t="inlineStr">
        <is>
          <t>dpo_days</t>
        </is>
      </c>
      <c r="G318" s="13" t="n">
        <v>45</v>
      </c>
      <c r="H318" t="inlineStr">
        <is>
          <t>假设初始化</t>
        </is>
      </c>
      <c r="I318" t="inlineStr">
        <is>
          <t>应付账期（天）</t>
        </is>
      </c>
    </row>
    <row r="319">
      <c r="A319" t="inlineStr">
        <is>
          <t>GROUP</t>
        </is>
      </c>
      <c r="D319" s="14" t="n">
        <v>2027</v>
      </c>
      <c r="E319" t="inlineStr">
        <is>
          <t>BUDGET</t>
        </is>
      </c>
      <c r="F319" s="5" t="inlineStr">
        <is>
          <t>ic_days</t>
        </is>
      </c>
      <c r="G319" s="13" t="n">
        <v>60</v>
      </c>
      <c r="H319" t="inlineStr">
        <is>
          <t>假设初始化</t>
        </is>
      </c>
      <c r="I319" t="inlineStr">
        <is>
          <t>内部往来账期（天）</t>
        </is>
      </c>
    </row>
    <row r="320">
      <c r="A320" t="inlineStr">
        <is>
          <t>GROUP</t>
        </is>
      </c>
      <c r="D320" s="14" t="n">
        <v>2027</v>
      </c>
      <c r="E320" t="inlineStr">
        <is>
          <t>BUDGET</t>
        </is>
      </c>
      <c r="F320" s="5" t="inlineStr">
        <is>
          <t>wacc</t>
        </is>
      </c>
      <c r="G320" s="13" t="n">
        <v>0.1</v>
      </c>
      <c r="H320" t="inlineStr">
        <is>
          <t>假设初始化</t>
        </is>
      </c>
      <c r="I320" t="inlineStr">
        <is>
          <t>WACC</t>
        </is>
      </c>
    </row>
    <row r="321">
      <c r="A321" t="inlineStr">
        <is>
          <t>GROUP</t>
        </is>
      </c>
      <c r="C321" t="inlineStr">
        <is>
          <t>华东</t>
        </is>
      </c>
      <c r="D321" s="14" t="n">
        <v>2027</v>
      </c>
      <c r="E321" t="inlineStr">
        <is>
          <t>BUDGET</t>
        </is>
      </c>
      <c r="F321" s="5" t="inlineStr">
        <is>
          <t>region_mix</t>
        </is>
      </c>
      <c r="G321" s="13" t="n">
        <v>0.28</v>
      </c>
      <c r="H321" t="inlineStr">
        <is>
          <t>行业研究</t>
        </is>
      </c>
      <c r="I321" t="inlineStr">
        <is>
          <t>收入地区占比</t>
        </is>
      </c>
    </row>
    <row r="322">
      <c r="A322" t="inlineStr">
        <is>
          <t>GROUP</t>
        </is>
      </c>
      <c r="C322" t="inlineStr">
        <is>
          <t>华北</t>
        </is>
      </c>
      <c r="D322" s="14" t="n">
        <v>2027</v>
      </c>
      <c r="E322" t="inlineStr">
        <is>
          <t>BUDGET</t>
        </is>
      </c>
      <c r="F322" s="5" t="inlineStr">
        <is>
          <t>region_mix</t>
        </is>
      </c>
      <c r="G322" s="13" t="n">
        <v>0.27</v>
      </c>
      <c r="H322" t="inlineStr">
        <is>
          <t>行业研究</t>
        </is>
      </c>
      <c r="I322" t="inlineStr">
        <is>
          <t>收入地区占比</t>
        </is>
      </c>
    </row>
    <row r="323">
      <c r="A323" t="inlineStr">
        <is>
          <t>GROUP</t>
        </is>
      </c>
      <c r="C323" t="inlineStr">
        <is>
          <t>华南</t>
        </is>
      </c>
      <c r="D323" s="14" t="n">
        <v>2027</v>
      </c>
      <c r="E323" t="inlineStr">
        <is>
          <t>BUDGET</t>
        </is>
      </c>
      <c r="F323" s="5" t="inlineStr">
        <is>
          <t>region_mix</t>
        </is>
      </c>
      <c r="G323" s="13" t="n">
        <v>0.2</v>
      </c>
      <c r="H323" t="inlineStr">
        <is>
          <t>行业研究</t>
        </is>
      </c>
      <c r="I323" t="inlineStr">
        <is>
          <t>收入地区占比</t>
        </is>
      </c>
    </row>
    <row r="324">
      <c r="A324" t="inlineStr">
        <is>
          <t>GROUP</t>
        </is>
      </c>
      <c r="C324" t="inlineStr">
        <is>
          <t>海外</t>
        </is>
      </c>
      <c r="D324" s="14" t="n">
        <v>2027</v>
      </c>
      <c r="E324" t="inlineStr">
        <is>
          <t>BUDGET</t>
        </is>
      </c>
      <c r="F324" s="5" t="inlineStr">
        <is>
          <t>region_mix</t>
        </is>
      </c>
      <c r="G324" s="13" t="n">
        <v>0.25</v>
      </c>
      <c r="H324" t="inlineStr">
        <is>
          <t>行业研究</t>
        </is>
      </c>
      <c r="I324" t="inlineStr">
        <is>
          <t>收入地区占比</t>
        </is>
      </c>
    </row>
    <row r="325">
      <c r="A325" t="inlineStr">
        <is>
          <t>CLOUD</t>
        </is>
      </c>
      <c r="D325" s="14" t="n">
        <v>2027</v>
      </c>
      <c r="E325" t="inlineStr">
        <is>
          <t>BUDGET</t>
        </is>
      </c>
      <c r="F325" s="5" t="inlineStr">
        <is>
          <t>token_volume_day</t>
        </is>
      </c>
      <c r="G325" s="13" t="n">
        <v>850</v>
      </c>
      <c r="H325" t="inlineStr">
        <is>
          <t>假设初始化</t>
        </is>
      </c>
      <c r="I325" t="inlineStr">
        <is>
          <t>日均 token 消耗（B/day）</t>
        </is>
      </c>
    </row>
    <row r="326">
      <c r="A326" t="inlineStr">
        <is>
          <t>CLOUD</t>
        </is>
      </c>
      <c r="D326" s="14" t="n">
        <v>2027</v>
      </c>
      <c r="E326" t="inlineStr">
        <is>
          <t>BUDGET</t>
        </is>
      </c>
      <c r="F326" s="5" t="inlineStr">
        <is>
          <t>api_price</t>
        </is>
      </c>
      <c r="G326" s="13" t="n">
        <v>4.5</v>
      </c>
      <c r="H326" t="inlineStr">
        <is>
          <t>假设初始化</t>
        </is>
      </c>
      <c r="I326" t="inlineStr">
        <is>
          <t>综合单价（元/M tokens）</t>
        </is>
      </c>
    </row>
    <row r="327">
      <c r="A327" t="inlineStr">
        <is>
          <t>CLOUD</t>
        </is>
      </c>
      <c r="D327" s="14" t="n">
        <v>2027</v>
      </c>
      <c r="E327" t="inlineStr">
        <is>
          <t>BUDGET</t>
        </is>
      </c>
      <c r="F327" s="5" t="inlineStr">
        <is>
          <t>inference_ucost</t>
        </is>
      </c>
      <c r="G327" s="13" t="n">
        <v>1.68</v>
      </c>
      <c r="H327" t="inlineStr">
        <is>
          <t>假设初始化</t>
        </is>
      </c>
      <c r="I327" t="inlineStr">
        <is>
          <t>推理单位成本（元/M tok）</t>
        </is>
      </c>
    </row>
    <row r="328">
      <c r="A328" t="inlineStr">
        <is>
          <t>CLOUD</t>
        </is>
      </c>
      <c r="D328" s="14" t="n">
        <v>2027</v>
      </c>
      <c r="E328" t="inlineStr">
        <is>
          <t>BUDGET</t>
        </is>
      </c>
      <c r="F328" s="5" t="inlineStr">
        <is>
          <t>bandwidth_fee</t>
        </is>
      </c>
      <c r="G328" s="13" t="n">
        <v>4000</v>
      </c>
      <c r="H328" t="inlineStr">
        <is>
          <t>假设初始化</t>
        </is>
      </c>
      <c r="I328" t="inlineStr">
        <is>
          <t>带宽机房费用（万）</t>
        </is>
      </c>
    </row>
    <row r="329">
      <c r="A329" t="inlineStr">
        <is>
          <t>CLOUD</t>
        </is>
      </c>
      <c r="D329" s="14" t="n">
        <v>2027</v>
      </c>
      <c r="E329" t="inlineStr">
        <is>
          <t>BUDGET</t>
        </is>
      </c>
      <c r="F329" s="5" t="inlineStr">
        <is>
          <t>customers</t>
        </is>
      </c>
      <c r="G329" s="13" t="n">
        <v>10000</v>
      </c>
      <c r="H329" t="inlineStr">
        <is>
          <t>假设初始化</t>
        </is>
      </c>
      <c r="I329" t="inlineStr">
        <is>
          <t>付费客户数（家）</t>
        </is>
      </c>
    </row>
    <row r="330">
      <c r="A330" t="inlineStr">
        <is>
          <t>CLOUD</t>
        </is>
      </c>
      <c r="D330" s="14" t="n">
        <v>2027</v>
      </c>
      <c r="E330" t="inlineStr">
        <is>
          <t>BUDGET</t>
        </is>
      </c>
      <c r="F330" s="5" t="inlineStr">
        <is>
          <t>churn_m</t>
        </is>
      </c>
      <c r="G330" s="13" t="n">
        <v>0.012</v>
      </c>
      <c r="H330" t="inlineStr">
        <is>
          <t>假设初始化</t>
        </is>
      </c>
      <c r="I330" t="inlineStr">
        <is>
          <t>月流失率</t>
        </is>
      </c>
    </row>
    <row r="331">
      <c r="A331" t="inlineStr">
        <is>
          <t>IND</t>
        </is>
      </c>
      <c r="D331" s="14" t="n">
        <v>2027</v>
      </c>
      <c r="E331" t="inlineStr">
        <is>
          <t>BUDGET</t>
        </is>
      </c>
      <c r="F331" s="5" t="inlineStr">
        <is>
          <t>projects_pvt</t>
        </is>
      </c>
      <c r="G331" s="13" t="n">
        <v>40</v>
      </c>
      <c r="H331" t="inlineStr">
        <is>
          <t>假设初始化</t>
        </is>
      </c>
      <c r="I331" t="inlineStr">
        <is>
          <t>私有化项目数（个）</t>
        </is>
      </c>
    </row>
    <row r="332">
      <c r="A332" t="inlineStr">
        <is>
          <t>IND</t>
        </is>
      </c>
      <c r="D332" s="14" t="n">
        <v>2027</v>
      </c>
      <c r="E332" t="inlineStr">
        <is>
          <t>BUDGET</t>
        </is>
      </c>
      <c r="F332" s="5" t="inlineStr">
        <is>
          <t>avg_contract</t>
        </is>
      </c>
      <c r="G332" s="13" t="n">
        <v>1500</v>
      </c>
      <c r="H332" t="inlineStr">
        <is>
          <t>假设初始化</t>
        </is>
      </c>
      <c r="I332" t="inlineStr">
        <is>
          <t>平均合同额（万）</t>
        </is>
      </c>
    </row>
    <row r="333">
      <c r="A333" t="inlineStr">
        <is>
          <t>IND</t>
        </is>
      </c>
      <c r="D333" s="14" t="n">
        <v>2027</v>
      </c>
      <c r="E333" t="inlineStr">
        <is>
          <t>BUDGET</t>
        </is>
      </c>
      <c r="F333" s="5" t="inlineStr">
        <is>
          <t>subscribers_sol</t>
        </is>
      </c>
      <c r="G333" s="13" t="n">
        <v>168</v>
      </c>
      <c r="H333" t="inlineStr">
        <is>
          <t>假设初始化</t>
        </is>
      </c>
      <c r="I333" t="inlineStr">
        <is>
          <t>解决方案签约客户（累计）</t>
        </is>
      </c>
    </row>
    <row r="334">
      <c r="A334" t="inlineStr">
        <is>
          <t>IND</t>
        </is>
      </c>
      <c r="D334" s="14" t="n">
        <v>2027</v>
      </c>
      <c r="E334" t="inlineStr">
        <is>
          <t>BUDGET</t>
        </is>
      </c>
      <c r="F334" s="5" t="inlineStr">
        <is>
          <t>sub_fee</t>
        </is>
      </c>
      <c r="G334" s="13" t="n">
        <v>115</v>
      </c>
      <c r="H334" t="inlineStr">
        <is>
          <t>假设初始化</t>
        </is>
      </c>
      <c r="I334" t="inlineStr">
        <is>
          <t>解决方案年费（万）</t>
        </is>
      </c>
    </row>
    <row r="335">
      <c r="A335" t="inlineStr">
        <is>
          <t>IND</t>
        </is>
      </c>
      <c r="D335" s="14" t="n">
        <v>2027</v>
      </c>
      <c r="E335" t="inlineStr">
        <is>
          <t>BUDGET</t>
        </is>
      </c>
      <c r="F335" s="5" t="inlineStr">
        <is>
          <t>cogs_rate_pvt</t>
        </is>
      </c>
      <c r="G335" s="13" t="n">
        <v>0.61</v>
      </c>
      <c r="H335" t="inlineStr">
        <is>
          <t>假设初始化</t>
        </is>
      </c>
      <c r="I335" t="inlineStr">
        <is>
          <t>私有化成本率</t>
        </is>
      </c>
    </row>
    <row r="336">
      <c r="A336" t="inlineStr">
        <is>
          <t>IND</t>
        </is>
      </c>
      <c r="D336" s="14" t="n">
        <v>2027</v>
      </c>
      <c r="E336" t="inlineStr">
        <is>
          <t>BUDGET</t>
        </is>
      </c>
      <c r="F336" s="5" t="inlineStr">
        <is>
          <t>cogs_rate_sol</t>
        </is>
      </c>
      <c r="G336" s="13" t="n">
        <v>0.42</v>
      </c>
      <c r="H336" t="inlineStr">
        <is>
          <t>假设初始化</t>
        </is>
      </c>
      <c r="I336" t="inlineStr">
        <is>
          <t>解决方案成本率</t>
        </is>
      </c>
    </row>
    <row r="337">
      <c r="A337" t="inlineStr">
        <is>
          <t>TOC</t>
        </is>
      </c>
      <c r="D337" s="14" t="n">
        <v>2027</v>
      </c>
      <c r="E337" t="inlineStr">
        <is>
          <t>BUDGET</t>
        </is>
      </c>
      <c r="F337" s="5" t="inlineStr">
        <is>
          <t>mau_w</t>
        </is>
      </c>
      <c r="G337" s="13" t="n">
        <v>1400</v>
      </c>
      <c r="H337" t="inlineStr">
        <is>
          <t>假设初始化</t>
        </is>
      </c>
      <c r="I337" t="inlineStr">
        <is>
          <t>MAU（万人）</t>
        </is>
      </c>
    </row>
    <row r="338">
      <c r="A338" t="inlineStr">
        <is>
          <t>TOC</t>
        </is>
      </c>
      <c r="D338" s="14" t="n">
        <v>2027</v>
      </c>
      <c r="E338" t="inlineStr">
        <is>
          <t>BUDGET</t>
        </is>
      </c>
      <c r="F338" s="5" t="inlineStr">
        <is>
          <t>pay_rate</t>
        </is>
      </c>
      <c r="G338" s="13" t="n">
        <v>0.05</v>
      </c>
      <c r="H338" t="inlineStr">
        <is>
          <t>假设初始化</t>
        </is>
      </c>
      <c r="I338" t="inlineStr">
        <is>
          <t>付费转化率</t>
        </is>
      </c>
    </row>
    <row r="339">
      <c r="A339" t="inlineStr">
        <is>
          <t>TOC</t>
        </is>
      </c>
      <c r="D339" s="14" t="n">
        <v>2027</v>
      </c>
      <c r="E339" t="inlineStr">
        <is>
          <t>BUDGET</t>
        </is>
      </c>
      <c r="F339" s="5" t="inlineStr">
        <is>
          <t>arppu</t>
        </is>
      </c>
      <c r="G339" s="13" t="n">
        <v>45</v>
      </c>
      <c r="H339" t="inlineStr">
        <is>
          <t>假设初始化</t>
        </is>
      </c>
      <c r="I339" t="inlineStr">
        <is>
          <t>ARPPU（元/付费/月）</t>
        </is>
      </c>
    </row>
    <row r="340">
      <c r="A340" t="inlineStr">
        <is>
          <t>TOC</t>
        </is>
      </c>
      <c r="D340" s="14" t="n">
        <v>2027</v>
      </c>
      <c r="E340" t="inlineStr">
        <is>
          <t>BUDGET</t>
        </is>
      </c>
      <c r="F340" s="5" t="inlineStr">
        <is>
          <t>ads_rev</t>
        </is>
      </c>
      <c r="G340" s="13" t="n">
        <v>2200</v>
      </c>
      <c r="H340" t="inlineStr">
        <is>
          <t>假设初始化</t>
        </is>
      </c>
      <c r="I340" t="inlineStr">
        <is>
          <t>广告收入（万）</t>
        </is>
      </c>
    </row>
    <row r="341">
      <c r="A341" t="inlineStr">
        <is>
          <t>TOC</t>
        </is>
      </c>
      <c r="D341" s="14" t="n">
        <v>2027</v>
      </c>
      <c r="E341" t="inlineStr">
        <is>
          <t>BUDGET</t>
        </is>
      </c>
      <c r="F341" s="5" t="inlineStr">
        <is>
          <t>ucost_toc</t>
        </is>
      </c>
      <c r="G341" s="13" t="n">
        <v>1.3</v>
      </c>
      <c r="H341" t="inlineStr">
        <is>
          <t>假设初始化</t>
        </is>
      </c>
      <c r="I341" t="inlineStr">
        <is>
          <t>单位推理+带宽成本（元/MAU/月）</t>
        </is>
      </c>
    </row>
    <row r="342">
      <c r="A342" t="inlineStr">
        <is>
          <t>TOC</t>
        </is>
      </c>
      <c r="D342" s="14" t="n">
        <v>2027</v>
      </c>
      <c r="E342" t="inlineStr">
        <is>
          <t>BUDGET</t>
        </is>
      </c>
      <c r="F342" s="5" t="inlineStr">
        <is>
          <t>cac</t>
        </is>
      </c>
      <c r="G342" s="13" t="n">
        <v>16</v>
      </c>
      <c r="H342" t="inlineStr">
        <is>
          <t>投放实测</t>
        </is>
      </c>
      <c r="I342" t="inlineStr">
        <is>
          <t>获客成本（元/新增用户）</t>
        </is>
      </c>
    </row>
    <row r="343">
      <c r="A343" t="inlineStr">
        <is>
          <t>TOC</t>
        </is>
      </c>
      <c r="D343" s="14" t="n">
        <v>2027</v>
      </c>
      <c r="E343" t="inlineStr">
        <is>
          <t>BUDGET</t>
        </is>
      </c>
      <c r="F343" s="5" t="inlineStr">
        <is>
          <t>new_user_mult</t>
        </is>
      </c>
      <c r="G343" s="13" t="n">
        <v>1.5</v>
      </c>
      <c r="H343" t="inlineStr">
        <is>
          <t>假设初始化</t>
        </is>
      </c>
      <c r="I343" t="inlineStr">
        <is>
          <t>新增用户=MAU增量×</t>
        </is>
      </c>
    </row>
    <row r="344">
      <c r="A344" t="inlineStr">
        <is>
          <t>CLOUD</t>
        </is>
      </c>
      <c r="D344" s="14" t="n">
        <v>2027</v>
      </c>
      <c r="E344" t="inlineStr">
        <is>
          <t>BUDGET</t>
        </is>
      </c>
      <c r="F344" s="5" t="inlineStr">
        <is>
          <t>headcount_rd</t>
        </is>
      </c>
      <c r="G344" s="13" t="n">
        <v>450</v>
      </c>
      <c r="H344" t="inlineStr">
        <is>
          <t>假设初始化</t>
        </is>
      </c>
      <c r="I344" t="inlineStr">
        <is>
          <t>研发编制（人）</t>
        </is>
      </c>
    </row>
    <row r="345">
      <c r="A345" t="inlineStr">
        <is>
          <t>CLOUD</t>
        </is>
      </c>
      <c r="D345" s="14" t="n">
        <v>2027</v>
      </c>
      <c r="E345" t="inlineStr">
        <is>
          <t>BUDGET</t>
        </is>
      </c>
      <c r="F345" s="5" t="inlineStr">
        <is>
          <t>salary_rd</t>
        </is>
      </c>
      <c r="G345" s="13" t="n">
        <v>70</v>
      </c>
      <c r="H345" t="inlineStr">
        <is>
          <t>假设初始化</t>
        </is>
      </c>
      <c r="I345" t="inlineStr">
        <is>
          <t>研发人均全成本（万/年）</t>
        </is>
      </c>
    </row>
    <row r="346">
      <c r="A346" t="inlineStr">
        <is>
          <t>CLOUD</t>
        </is>
      </c>
      <c r="D346" s="14" t="n">
        <v>2027</v>
      </c>
      <c r="E346" t="inlineStr">
        <is>
          <t>BUDGET</t>
        </is>
      </c>
      <c r="F346" s="5" t="inlineStr">
        <is>
          <t>headcount_sales</t>
        </is>
      </c>
      <c r="G346" s="13" t="n">
        <v>130</v>
      </c>
      <c r="H346" t="inlineStr">
        <is>
          <t>假设初始化</t>
        </is>
      </c>
      <c r="I346" t="inlineStr">
        <is>
          <t>销售编制（人）</t>
        </is>
      </c>
    </row>
    <row r="347">
      <c r="A347" t="inlineStr">
        <is>
          <t>CLOUD</t>
        </is>
      </c>
      <c r="D347" s="14" t="n">
        <v>2027</v>
      </c>
      <c r="E347" t="inlineStr">
        <is>
          <t>BUDGET</t>
        </is>
      </c>
      <c r="F347" s="5" t="inlineStr">
        <is>
          <t>salary_sales</t>
        </is>
      </c>
      <c r="G347" s="13" t="n">
        <v>60</v>
      </c>
      <c r="H347" t="inlineStr">
        <is>
          <t>假设初始化</t>
        </is>
      </c>
      <c r="I347" t="inlineStr">
        <is>
          <t>销售人均全成本（万/年）</t>
        </is>
      </c>
    </row>
    <row r="348">
      <c r="A348" t="inlineStr">
        <is>
          <t>CLOUD</t>
        </is>
      </c>
      <c r="D348" s="14" t="n">
        <v>2027</v>
      </c>
      <c r="E348" t="inlineStr">
        <is>
          <t>BUDGET</t>
        </is>
      </c>
      <c r="F348" s="5" t="inlineStr">
        <is>
          <t>headcount_gna</t>
        </is>
      </c>
      <c r="G348" s="13" t="n">
        <v>55</v>
      </c>
      <c r="H348" t="inlineStr">
        <is>
          <t>假设初始化</t>
        </is>
      </c>
      <c r="I348" t="inlineStr">
        <is>
          <t>管理编制（人）</t>
        </is>
      </c>
    </row>
    <row r="349">
      <c r="A349" t="inlineStr">
        <is>
          <t>CLOUD</t>
        </is>
      </c>
      <c r="D349" s="14" t="n">
        <v>2027</v>
      </c>
      <c r="E349" t="inlineStr">
        <is>
          <t>BUDGET</t>
        </is>
      </c>
      <c r="F349" s="5" t="inlineStr">
        <is>
          <t>salary_gna</t>
        </is>
      </c>
      <c r="G349" s="13" t="n">
        <v>55</v>
      </c>
      <c r="H349" t="inlineStr">
        <is>
          <t>假设初始化</t>
        </is>
      </c>
      <c r="I349" t="inlineStr">
        <is>
          <t>管理人均全成本（万/年）</t>
        </is>
      </c>
    </row>
    <row r="350">
      <c r="A350" t="inlineStr">
        <is>
          <t>IND</t>
        </is>
      </c>
      <c r="D350" s="14" t="n">
        <v>2027</v>
      </c>
      <c r="E350" t="inlineStr">
        <is>
          <t>BUDGET</t>
        </is>
      </c>
      <c r="F350" s="5" t="inlineStr">
        <is>
          <t>headcount_rd</t>
        </is>
      </c>
      <c r="G350" s="13" t="n">
        <v>150</v>
      </c>
      <c r="H350" t="inlineStr">
        <is>
          <t>假设初始化</t>
        </is>
      </c>
      <c r="I350" t="inlineStr">
        <is>
          <t>研发编制（人）</t>
        </is>
      </c>
    </row>
    <row r="351">
      <c r="A351" t="inlineStr">
        <is>
          <t>IND</t>
        </is>
      </c>
      <c r="D351" s="14" t="n">
        <v>2027</v>
      </c>
      <c r="E351" t="inlineStr">
        <is>
          <t>BUDGET</t>
        </is>
      </c>
      <c r="F351" s="5" t="inlineStr">
        <is>
          <t>salary_rd</t>
        </is>
      </c>
      <c r="G351" s="13" t="n">
        <v>70</v>
      </c>
      <c r="H351" t="inlineStr">
        <is>
          <t>假设初始化</t>
        </is>
      </c>
      <c r="I351" t="inlineStr">
        <is>
          <t>研发人均全成本（万/年）</t>
        </is>
      </c>
    </row>
    <row r="352">
      <c r="A352" t="inlineStr">
        <is>
          <t>IND</t>
        </is>
      </c>
      <c r="D352" s="14" t="n">
        <v>2027</v>
      </c>
      <c r="E352" t="inlineStr">
        <is>
          <t>BUDGET</t>
        </is>
      </c>
      <c r="F352" s="5" t="inlineStr">
        <is>
          <t>headcount_sales</t>
        </is>
      </c>
      <c r="G352" s="13" t="n">
        <v>75</v>
      </c>
      <c r="H352" t="inlineStr">
        <is>
          <t>假设初始化</t>
        </is>
      </c>
      <c r="I352" t="inlineStr">
        <is>
          <t>销售编制（人）</t>
        </is>
      </c>
    </row>
    <row r="353">
      <c r="A353" t="inlineStr">
        <is>
          <t>IND</t>
        </is>
      </c>
      <c r="D353" s="14" t="n">
        <v>2027</v>
      </c>
      <c r="E353" t="inlineStr">
        <is>
          <t>BUDGET</t>
        </is>
      </c>
      <c r="F353" s="5" t="inlineStr">
        <is>
          <t>salary_sales</t>
        </is>
      </c>
      <c r="G353" s="13" t="n">
        <v>60</v>
      </c>
      <c r="H353" t="inlineStr">
        <is>
          <t>假设初始化</t>
        </is>
      </c>
      <c r="I353" t="inlineStr">
        <is>
          <t>销售人均全成本（万/年）</t>
        </is>
      </c>
    </row>
    <row r="354">
      <c r="A354" t="inlineStr">
        <is>
          <t>IND</t>
        </is>
      </c>
      <c r="D354" s="14" t="n">
        <v>2027</v>
      </c>
      <c r="E354" t="inlineStr">
        <is>
          <t>BUDGET</t>
        </is>
      </c>
      <c r="F354" s="5" t="inlineStr">
        <is>
          <t>headcount_gna</t>
        </is>
      </c>
      <c r="G354" s="13" t="n">
        <v>42</v>
      </c>
      <c r="H354" t="inlineStr">
        <is>
          <t>假设初始化</t>
        </is>
      </c>
      <c r="I354" t="inlineStr">
        <is>
          <t>管理编制（人）</t>
        </is>
      </c>
    </row>
    <row r="355">
      <c r="A355" t="inlineStr">
        <is>
          <t>IND</t>
        </is>
      </c>
      <c r="D355" s="14" t="n">
        <v>2027</v>
      </c>
      <c r="E355" t="inlineStr">
        <is>
          <t>BUDGET</t>
        </is>
      </c>
      <c r="F355" s="5" t="inlineStr">
        <is>
          <t>salary_gna</t>
        </is>
      </c>
      <c r="G355" s="13" t="n">
        <v>55</v>
      </c>
      <c r="H355" t="inlineStr">
        <is>
          <t>假设初始化</t>
        </is>
      </c>
      <c r="I355" t="inlineStr">
        <is>
          <t>管理人均全成本（万/年）</t>
        </is>
      </c>
    </row>
    <row r="356">
      <c r="A356" t="inlineStr">
        <is>
          <t>TOC</t>
        </is>
      </c>
      <c r="D356" s="14" t="n">
        <v>2027</v>
      </c>
      <c r="E356" t="inlineStr">
        <is>
          <t>BUDGET</t>
        </is>
      </c>
      <c r="F356" s="5" t="inlineStr">
        <is>
          <t>headcount_rd</t>
        </is>
      </c>
      <c r="G356" s="13" t="n">
        <v>230</v>
      </c>
      <c r="H356" t="inlineStr">
        <is>
          <t>假设初始化</t>
        </is>
      </c>
      <c r="I356" t="inlineStr">
        <is>
          <t>研发编制（人）</t>
        </is>
      </c>
    </row>
    <row r="357">
      <c r="A357" t="inlineStr">
        <is>
          <t>TOC</t>
        </is>
      </c>
      <c r="D357" s="14" t="n">
        <v>2027</v>
      </c>
      <c r="E357" t="inlineStr">
        <is>
          <t>BUDGET</t>
        </is>
      </c>
      <c r="F357" s="5" t="inlineStr">
        <is>
          <t>salary_rd</t>
        </is>
      </c>
      <c r="G357" s="13" t="n">
        <v>70</v>
      </c>
      <c r="H357" t="inlineStr">
        <is>
          <t>假设初始化</t>
        </is>
      </c>
      <c r="I357" t="inlineStr">
        <is>
          <t>研发人均全成本（万/年）</t>
        </is>
      </c>
    </row>
    <row r="358">
      <c r="A358" t="inlineStr">
        <is>
          <t>TOC</t>
        </is>
      </c>
      <c r="D358" s="14" t="n">
        <v>2027</v>
      </c>
      <c r="E358" t="inlineStr">
        <is>
          <t>BUDGET</t>
        </is>
      </c>
      <c r="F358" s="5" t="inlineStr">
        <is>
          <t>headcount_sales</t>
        </is>
      </c>
      <c r="G358" s="13" t="n">
        <v>30</v>
      </c>
      <c r="H358" t="inlineStr">
        <is>
          <t>假设初始化</t>
        </is>
      </c>
      <c r="I358" t="inlineStr">
        <is>
          <t>销售编制（人）</t>
        </is>
      </c>
    </row>
    <row r="359">
      <c r="A359" t="inlineStr">
        <is>
          <t>TOC</t>
        </is>
      </c>
      <c r="D359" s="14" t="n">
        <v>2027</v>
      </c>
      <c r="E359" t="inlineStr">
        <is>
          <t>BUDGET</t>
        </is>
      </c>
      <c r="F359" s="5" t="inlineStr">
        <is>
          <t>salary_sales</t>
        </is>
      </c>
      <c r="G359" s="13" t="n">
        <v>55</v>
      </c>
      <c r="H359" t="inlineStr">
        <is>
          <t>假设初始化</t>
        </is>
      </c>
      <c r="I359" t="inlineStr">
        <is>
          <t>销售人均全成本（万/年）</t>
        </is>
      </c>
    </row>
    <row r="360">
      <c r="A360" t="inlineStr">
        <is>
          <t>TOC</t>
        </is>
      </c>
      <c r="D360" s="14" t="n">
        <v>2027</v>
      </c>
      <c r="E360" t="inlineStr">
        <is>
          <t>BUDGET</t>
        </is>
      </c>
      <c r="F360" s="5" t="inlineStr">
        <is>
          <t>headcount_gna</t>
        </is>
      </c>
      <c r="G360" s="13" t="n">
        <v>28</v>
      </c>
      <c r="H360" t="inlineStr">
        <is>
          <t>假设初始化</t>
        </is>
      </c>
      <c r="I360" t="inlineStr">
        <is>
          <t>管理编制（人）</t>
        </is>
      </c>
    </row>
    <row r="361">
      <c r="A361" t="inlineStr">
        <is>
          <t>TOC</t>
        </is>
      </c>
      <c r="D361" s="14" t="n">
        <v>2027</v>
      </c>
      <c r="E361" t="inlineStr">
        <is>
          <t>BUDGET</t>
        </is>
      </c>
      <c r="F361" s="5" t="inlineStr">
        <is>
          <t>salary_gna</t>
        </is>
      </c>
      <c r="G361" s="13" t="n">
        <v>55</v>
      </c>
      <c r="H361" t="inlineStr">
        <is>
          <t>假设初始化</t>
        </is>
      </c>
      <c r="I361" t="inlineStr">
        <is>
          <t>管理人均全成本（万/年）</t>
        </is>
      </c>
    </row>
    <row r="362">
      <c r="A362" t="inlineStr">
        <is>
          <t>HOLD</t>
        </is>
      </c>
      <c r="D362" s="14" t="n">
        <v>2027</v>
      </c>
      <c r="E362" t="inlineStr">
        <is>
          <t>BUDGET</t>
        </is>
      </c>
      <c r="F362" s="5" t="inlineStr">
        <is>
          <t>headcount_rd</t>
        </is>
      </c>
      <c r="G362" s="13" t="n">
        <v>420</v>
      </c>
      <c r="H362" t="inlineStr">
        <is>
          <t>假设初始化</t>
        </is>
      </c>
      <c r="I362" t="inlineStr">
        <is>
          <t>研发编制（人）</t>
        </is>
      </c>
    </row>
    <row r="363">
      <c r="A363" t="inlineStr">
        <is>
          <t>HOLD</t>
        </is>
      </c>
      <c r="D363" s="14" t="n">
        <v>2027</v>
      </c>
      <c r="E363" t="inlineStr">
        <is>
          <t>BUDGET</t>
        </is>
      </c>
      <c r="F363" s="5" t="inlineStr">
        <is>
          <t>headcount_gna</t>
        </is>
      </c>
      <c r="G363" s="13" t="n">
        <v>30</v>
      </c>
      <c r="H363" t="inlineStr">
        <is>
          <t>假设初始化</t>
        </is>
      </c>
      <c r="I363" t="inlineStr">
        <is>
          <t>管理编制（人）</t>
        </is>
      </c>
    </row>
    <row r="364">
      <c r="A364" t="inlineStr">
        <is>
          <t>HOLD</t>
        </is>
      </c>
      <c r="D364" s="14" t="n">
        <v>2027</v>
      </c>
      <c r="E364" t="inlineStr">
        <is>
          <t>BUDGET</t>
        </is>
      </c>
      <c r="F364" s="5" t="inlineStr">
        <is>
          <t>salary_gna</t>
        </is>
      </c>
      <c r="G364" s="13" t="n">
        <v>55</v>
      </c>
      <c r="H364" t="inlineStr">
        <is>
          <t>假设初始化</t>
        </is>
      </c>
      <c r="I364" t="inlineStr">
        <is>
          <t>管理人均全成本（万/年）</t>
        </is>
      </c>
    </row>
    <row r="365">
      <c r="A365" t="inlineStr">
        <is>
          <t>HOLD</t>
        </is>
      </c>
      <c r="D365" s="14" t="n">
        <v>2027</v>
      </c>
      <c r="E365" t="inlineStr">
        <is>
          <t>BUDGET</t>
        </is>
      </c>
      <c r="F365" s="5" t="inlineStr">
        <is>
          <t>other_rd</t>
        </is>
      </c>
      <c r="G365" s="13" t="n">
        <v>5000</v>
      </c>
      <c r="H365" t="inlineStr">
        <is>
          <t>假设初始化</t>
        </is>
      </c>
      <c r="I365" t="inlineStr">
        <is>
          <t>其他研发费用（万）</t>
        </is>
      </c>
    </row>
    <row r="366">
      <c r="A366" t="inlineStr">
        <is>
          <t>HOLD</t>
        </is>
      </c>
      <c r="D366" s="14" t="n">
        <v>2027</v>
      </c>
      <c r="E366" t="inlineStr">
        <is>
          <t>BUDGET</t>
        </is>
      </c>
      <c r="F366" s="5" t="inlineStr">
        <is>
          <t>hold_salary</t>
        </is>
      </c>
      <c r="G366" s="13" t="n">
        <v>88</v>
      </c>
      <c r="H366" t="inlineStr">
        <is>
          <t>假设初始化</t>
        </is>
      </c>
      <c r="I366" t="inlineStr">
        <is>
          <t>研究院研发人均全成本（万）</t>
        </is>
      </c>
    </row>
    <row r="367">
      <c r="A367" t="inlineStr">
        <is>
          <t>CLOUD</t>
        </is>
      </c>
      <c r="D367" s="14" t="n">
        <v>2027</v>
      </c>
      <c r="E367" t="inlineStr">
        <is>
          <t>BUDGET</t>
        </is>
      </c>
      <c r="F367" s="5" t="inlineStr">
        <is>
          <t>t1_rate</t>
        </is>
      </c>
      <c r="G367" s="13" t="n">
        <v>0.12</v>
      </c>
      <c r="H367" t="inlineStr">
        <is>
          <t>假设初始化</t>
        </is>
      </c>
      <c r="I367" t="inlineStr">
        <is>
          <t>T1 license 费率</t>
        </is>
      </c>
    </row>
    <row r="368">
      <c r="A368" t="inlineStr">
        <is>
          <t>IND</t>
        </is>
      </c>
      <c r="D368" s="14" t="n">
        <v>2027</v>
      </c>
      <c r="E368" t="inlineStr">
        <is>
          <t>BUDGET</t>
        </is>
      </c>
      <c r="F368" s="5" t="inlineStr">
        <is>
          <t>t1_rate</t>
        </is>
      </c>
      <c r="G368" s="13" t="n">
        <v>0.08</v>
      </c>
      <c r="H368" t="inlineStr">
        <is>
          <t>假设初始化</t>
        </is>
      </c>
      <c r="I368" t="inlineStr">
        <is>
          <t>T1 license 费率</t>
        </is>
      </c>
    </row>
    <row r="369">
      <c r="A369" t="inlineStr">
        <is>
          <t>TOC</t>
        </is>
      </c>
      <c r="D369" s="14" t="n">
        <v>2027</v>
      </c>
      <c r="E369" t="inlineStr">
        <is>
          <t>BUDGET</t>
        </is>
      </c>
      <c r="F369" s="5" t="inlineStr">
        <is>
          <t>t1_rate</t>
        </is>
      </c>
      <c r="G369" s="13" t="n">
        <v>0.1</v>
      </c>
      <c r="H369" t="inlineStr">
        <is>
          <t>假设初始化</t>
        </is>
      </c>
      <c r="I369" t="inlineStr">
        <is>
          <t>T1 license 费率</t>
        </is>
      </c>
    </row>
    <row r="370">
      <c r="A370" t="inlineStr">
        <is>
          <t>HOLD</t>
        </is>
      </c>
      <c r="D370" s="14" t="n">
        <v>2027</v>
      </c>
      <c r="E370" t="inlineStr">
        <is>
          <t>BUDGET</t>
        </is>
      </c>
      <c r="F370" s="5" t="inlineStr">
        <is>
          <t>t2_fee</t>
        </is>
      </c>
      <c r="G370" s="13" t="n">
        <v>8000</v>
      </c>
      <c r="H370" t="inlineStr">
        <is>
          <t>假设初始化</t>
        </is>
      </c>
      <c r="I370" t="inlineStr">
        <is>
          <t>T2 定制研发服务费（万）</t>
        </is>
      </c>
    </row>
    <row r="371">
      <c r="A371" t="inlineStr">
        <is>
          <t>GROUP</t>
        </is>
      </c>
      <c r="D371" s="14" t="n">
        <v>2027</v>
      </c>
      <c r="E371" t="inlineStr">
        <is>
          <t>BUDGET</t>
        </is>
      </c>
      <c r="F371" s="5" t="inlineStr">
        <is>
          <t>t3_share</t>
        </is>
      </c>
      <c r="G371" s="13" t="n">
        <v>0.7</v>
      </c>
      <c r="H371" t="inlineStr">
        <is>
          <t>假设初始化</t>
        </is>
      </c>
      <c r="I371" t="inlineStr">
        <is>
          <t>T3 算力结算占比</t>
        </is>
      </c>
    </row>
    <row r="372">
      <c r="A372" t="inlineStr">
        <is>
          <t>GROUP</t>
        </is>
      </c>
      <c r="D372" s="14" t="n">
        <v>2027</v>
      </c>
      <c r="E372" t="inlineStr">
        <is>
          <t>BUDGET</t>
        </is>
      </c>
      <c r="F372" s="5" t="inlineStr">
        <is>
          <t>t3_gm</t>
        </is>
      </c>
      <c r="G372" s="13" t="n">
        <v>0.45</v>
      </c>
      <c r="H372" t="inlineStr">
        <is>
          <t>假设初始化</t>
        </is>
      </c>
      <c r="I372" t="inlineStr">
        <is>
          <t>T3 云内部毛利率</t>
        </is>
      </c>
    </row>
    <row r="373">
      <c r="A373" t="inlineStr">
        <is>
          <t>GROUP</t>
        </is>
      </c>
      <c r="D373" s="14" t="n">
        <v>2027</v>
      </c>
      <c r="E373" t="inlineStr">
        <is>
          <t>BUDGET</t>
        </is>
      </c>
      <c r="F373" s="5" t="inlineStr">
        <is>
          <t>cutoff_2027</t>
        </is>
      </c>
      <c r="G373" s="13" t="n">
        <v>220</v>
      </c>
      <c r="H373" t="inlineStr">
        <is>
          <t>假设初始化</t>
        </is>
      </c>
      <c r="I373" t="inlineStr">
        <is>
          <t>cut-off 在途（万）</t>
        </is>
      </c>
    </row>
    <row r="374">
      <c r="A374" t="inlineStr">
        <is>
          <t>HOLD</t>
        </is>
      </c>
      <c r="D374" s="14" t="n">
        <v>2027</v>
      </c>
      <c r="E374" t="inlineStr">
        <is>
          <t>BUDGET</t>
        </is>
      </c>
      <c r="F374" s="5" t="inlineStr">
        <is>
          <t>equity_inject</t>
        </is>
      </c>
      <c r="G374" s="13" t="n">
        <v>60000</v>
      </c>
      <c r="H374" t="inlineStr">
        <is>
          <t>假设初始化</t>
        </is>
      </c>
      <c r="I374" t="inlineStr">
        <is>
          <t>当年新增注资（万）</t>
        </is>
      </c>
    </row>
    <row r="375">
      <c r="A375" t="inlineStr">
        <is>
          <t>CLOUD</t>
        </is>
      </c>
      <c r="D375" s="14" t="n">
        <v>2027</v>
      </c>
      <c r="E375" t="inlineStr">
        <is>
          <t>BUDGET</t>
        </is>
      </c>
      <c r="F375" s="5" t="inlineStr">
        <is>
          <t>equity_inject</t>
        </is>
      </c>
      <c r="G375" s="13" t="n">
        <v>4000</v>
      </c>
      <c r="H375" t="inlineStr">
        <is>
          <t>假设初始化</t>
        </is>
      </c>
      <c r="I375" t="inlineStr">
        <is>
          <t>当年新增注资（万）</t>
        </is>
      </c>
    </row>
    <row r="376">
      <c r="A376" t="inlineStr">
        <is>
          <t>IND</t>
        </is>
      </c>
      <c r="D376" s="14" t="n">
        <v>2027</v>
      </c>
      <c r="E376" t="inlineStr">
        <is>
          <t>BUDGET</t>
        </is>
      </c>
      <c r="F376" s="5" t="inlineStr">
        <is>
          <t>equity_inject</t>
        </is>
      </c>
      <c r="G376" s="13" t="n">
        <v>3000</v>
      </c>
      <c r="H376" t="inlineStr">
        <is>
          <t>假设初始化</t>
        </is>
      </c>
      <c r="I376" t="inlineStr">
        <is>
          <t>当年新增注资（万）</t>
        </is>
      </c>
    </row>
    <row r="377">
      <c r="A377" t="inlineStr">
        <is>
          <t>TOC</t>
        </is>
      </c>
      <c r="D377" s="14" t="n">
        <v>2027</v>
      </c>
      <c r="E377" t="inlineStr">
        <is>
          <t>BUDGET</t>
        </is>
      </c>
      <c r="F377" s="5" t="inlineStr">
        <is>
          <t>equity_inject</t>
        </is>
      </c>
      <c r="G377" s="13" t="n">
        <v>12000</v>
      </c>
      <c r="H377" t="inlineStr">
        <is>
          <t>假设初始化</t>
        </is>
      </c>
      <c r="I377" t="inlineStr">
        <is>
          <t>当年新增注资（万）</t>
        </is>
      </c>
    </row>
    <row r="378">
      <c r="A378" t="inlineStr">
        <is>
          <t>HOLD</t>
        </is>
      </c>
      <c r="D378" s="14" t="n">
        <v>2027</v>
      </c>
      <c r="E378" t="inlineStr">
        <is>
          <t>BUDGET</t>
        </is>
      </c>
      <c r="F378" s="5" t="inlineStr">
        <is>
          <t>open_re</t>
        </is>
      </c>
      <c r="G378" s="13" t="n">
        <v>-15000</v>
      </c>
      <c r="H378" t="inlineStr">
        <is>
          <t>假设初始化</t>
        </is>
      </c>
      <c r="I378" t="inlineStr">
        <is>
          <t>仅2023期初有效</t>
        </is>
      </c>
    </row>
    <row r="379">
      <c r="A379" t="inlineStr">
        <is>
          <t>HOLD</t>
        </is>
      </c>
      <c r="D379" s="14" t="n">
        <v>2027</v>
      </c>
      <c r="E379" t="inlineStr">
        <is>
          <t>BUDGET</t>
        </is>
      </c>
      <c r="F379" s="5" t="inlineStr">
        <is>
          <t>open_pi</t>
        </is>
      </c>
      <c r="G379" s="13" t="n">
        <v>120000</v>
      </c>
      <c r="H379" t="inlineStr">
        <is>
          <t>假设初始化</t>
        </is>
      </c>
      <c r="I379" t="inlineStr">
        <is>
          <t>仅2023期初有效</t>
        </is>
      </c>
    </row>
    <row r="380">
      <c r="A380" t="inlineStr">
        <is>
          <t>CLOUD</t>
        </is>
      </c>
      <c r="D380" s="14" t="n">
        <v>2027</v>
      </c>
      <c r="E380" t="inlineStr">
        <is>
          <t>BUDGET</t>
        </is>
      </c>
      <c r="F380" s="5" t="inlineStr">
        <is>
          <t>open_re</t>
        </is>
      </c>
      <c r="G380" s="13" t="n">
        <v>-8000</v>
      </c>
      <c r="H380" t="inlineStr">
        <is>
          <t>假设初始化</t>
        </is>
      </c>
      <c r="I380" t="inlineStr">
        <is>
          <t>仅2023期初有效</t>
        </is>
      </c>
    </row>
    <row r="381">
      <c r="A381" t="inlineStr">
        <is>
          <t>CLOUD</t>
        </is>
      </c>
      <c r="D381" s="14" t="n">
        <v>2027</v>
      </c>
      <c r="E381" t="inlineStr">
        <is>
          <t>BUDGET</t>
        </is>
      </c>
      <c r="F381" s="5" t="inlineStr">
        <is>
          <t>open_pi</t>
        </is>
      </c>
      <c r="G381" s="13" t="n">
        <v>33000</v>
      </c>
      <c r="H381" t="inlineStr">
        <is>
          <t>假设初始化</t>
        </is>
      </c>
      <c r="I381" t="inlineStr">
        <is>
          <t>仅2023期初有效</t>
        </is>
      </c>
    </row>
    <row r="382">
      <c r="A382" t="inlineStr">
        <is>
          <t>IND</t>
        </is>
      </c>
      <c r="D382" s="14" t="n">
        <v>2027</v>
      </c>
      <c r="E382" t="inlineStr">
        <is>
          <t>BUDGET</t>
        </is>
      </c>
      <c r="F382" s="5" t="inlineStr">
        <is>
          <t>open_re</t>
        </is>
      </c>
      <c r="G382" s="13" t="n">
        <v>-4000</v>
      </c>
      <c r="H382" t="inlineStr">
        <is>
          <t>假设初始化</t>
        </is>
      </c>
      <c r="I382" t="inlineStr">
        <is>
          <t>仅2023期初有效</t>
        </is>
      </c>
    </row>
    <row r="383">
      <c r="A383" t="inlineStr">
        <is>
          <t>IND</t>
        </is>
      </c>
      <c r="D383" s="14" t="n">
        <v>2027</v>
      </c>
      <c r="E383" t="inlineStr">
        <is>
          <t>BUDGET</t>
        </is>
      </c>
      <c r="F383" s="5" t="inlineStr">
        <is>
          <t>open_pi</t>
        </is>
      </c>
      <c r="G383" s="13" t="n">
        <v>18000</v>
      </c>
      <c r="H383" t="inlineStr">
        <is>
          <t>假设初始化</t>
        </is>
      </c>
      <c r="I383" t="inlineStr">
        <is>
          <t>仅2023期初有效</t>
        </is>
      </c>
    </row>
    <row r="384">
      <c r="A384" t="inlineStr">
        <is>
          <t>TOC</t>
        </is>
      </c>
      <c r="D384" s="14" t="n">
        <v>2027</v>
      </c>
      <c r="E384" t="inlineStr">
        <is>
          <t>BUDGET</t>
        </is>
      </c>
      <c r="F384" s="5" t="inlineStr">
        <is>
          <t>open_re</t>
        </is>
      </c>
      <c r="G384" s="13" t="n">
        <v>-3000</v>
      </c>
      <c r="H384" t="inlineStr">
        <is>
          <t>假设初始化</t>
        </is>
      </c>
      <c r="I384" t="inlineStr">
        <is>
          <t>仅2023期初有效</t>
        </is>
      </c>
    </row>
    <row r="385">
      <c r="A385" t="inlineStr">
        <is>
          <t>TOC</t>
        </is>
      </c>
      <c r="D385" s="14" t="n">
        <v>2027</v>
      </c>
      <c r="E385" t="inlineStr">
        <is>
          <t>BUDGET</t>
        </is>
      </c>
      <c r="F385" s="5" t="inlineStr">
        <is>
          <t>open_pi</t>
        </is>
      </c>
      <c r="G385" s="13" t="n">
        <v>10000</v>
      </c>
      <c r="H385" t="inlineStr">
        <is>
          <t>假设初始化</t>
        </is>
      </c>
      <c r="I385" t="inlineStr">
        <is>
          <t>仅2023期初有效</t>
        </is>
      </c>
    </row>
    <row r="386">
      <c r="A386" t="inlineStr">
        <is>
          <t>HOLD</t>
        </is>
      </c>
      <c r="D386" s="14" t="n">
        <v>2027</v>
      </c>
      <c r="E386" t="inlineStr">
        <is>
          <t>BUDGET</t>
        </is>
      </c>
      <c r="F386" s="5" t="inlineStr">
        <is>
          <t>open_fa</t>
        </is>
      </c>
      <c r="G386" s="13" t="n">
        <v>45000</v>
      </c>
      <c r="H386" t="inlineStr">
        <is>
          <t>假设初始化</t>
        </is>
      </c>
      <c r="I386" t="inlineStr">
        <is>
          <t>训练卡</t>
        </is>
      </c>
    </row>
    <row r="387">
      <c r="A387" t="inlineStr">
        <is>
          <t>CLOUD</t>
        </is>
      </c>
      <c r="D387" s="14" t="n">
        <v>2027</v>
      </c>
      <c r="E387" t="inlineStr">
        <is>
          <t>BUDGET</t>
        </is>
      </c>
      <c r="F387" s="5" t="inlineStr">
        <is>
          <t>open_fa</t>
        </is>
      </c>
      <c r="G387" s="13" t="n">
        <v>15000</v>
      </c>
      <c r="H387" t="inlineStr">
        <is>
          <t>假设初始化</t>
        </is>
      </c>
      <c r="I387" t="inlineStr">
        <is>
          <t>推理卡</t>
        </is>
      </c>
    </row>
    <row r="388">
      <c r="A388" t="inlineStr">
        <is>
          <t>HOLD</t>
        </is>
      </c>
      <c r="D388" s="14" t="n">
        <v>2027</v>
      </c>
      <c r="E388" t="inlineStr">
        <is>
          <t>BUDGET</t>
        </is>
      </c>
      <c r="F388" s="5" t="inlineStr">
        <is>
          <t>open_lt_inv</t>
        </is>
      </c>
      <c r="G388" s="13" t="n">
        <v>23000</v>
      </c>
      <c r="H388" t="inlineStr">
        <is>
          <t>假设初始化</t>
        </is>
      </c>
      <c r="I388" t="inlineStr">
        <is>
          <t>期初长投合计（万）</t>
        </is>
      </c>
    </row>
    <row r="389">
      <c r="A389" t="inlineStr">
        <is>
          <t>CLOUD</t>
        </is>
      </c>
      <c r="D389" s="14" t="n">
        <v>2027</v>
      </c>
      <c r="E389" t="inlineStr">
        <is>
          <t>BUDGET</t>
        </is>
      </c>
      <c r="F389" s="5" t="inlineStr">
        <is>
          <t>deferred_rate</t>
        </is>
      </c>
      <c r="G389" s="13" t="n">
        <v>0.05</v>
      </c>
      <c r="H389" t="inlineStr">
        <is>
          <t>假设初始化</t>
        </is>
      </c>
      <c r="I389" t="inlineStr">
        <is>
          <t>递延收入率</t>
        </is>
      </c>
    </row>
    <row r="390">
      <c r="A390" t="inlineStr">
        <is>
          <t>IND</t>
        </is>
      </c>
      <c r="D390" s="14" t="n">
        <v>2027</v>
      </c>
      <c r="E390" t="inlineStr">
        <is>
          <t>BUDGET</t>
        </is>
      </c>
      <c r="F390" s="5" t="inlineStr">
        <is>
          <t>deferred_rate</t>
        </is>
      </c>
      <c r="G390" s="13" t="n">
        <v>0.08</v>
      </c>
      <c r="H390" t="inlineStr">
        <is>
          <t>假设初始化</t>
        </is>
      </c>
      <c r="I390" t="inlineStr">
        <is>
          <t>递延收入率</t>
        </is>
      </c>
    </row>
    <row r="391">
      <c r="A391" t="inlineStr">
        <is>
          <t>TOC</t>
        </is>
      </c>
      <c r="D391" s="14" t="n">
        <v>2027</v>
      </c>
      <c r="E391" t="inlineStr">
        <is>
          <t>BUDGET</t>
        </is>
      </c>
      <c r="F391" s="5" t="inlineStr">
        <is>
          <t>deferred_rate</t>
        </is>
      </c>
      <c r="G391" s="13" t="n">
        <v>0.2</v>
      </c>
      <c r="H391" t="inlineStr">
        <is>
          <t>假设初始化</t>
        </is>
      </c>
      <c r="I391" t="inlineStr">
        <is>
          <t>递延收入率</t>
        </is>
      </c>
    </row>
    <row r="392">
      <c r="A392" t="inlineStr">
        <is>
          <t>HOLD</t>
        </is>
      </c>
      <c r="D392" s="14" t="n">
        <v>2027</v>
      </c>
      <c r="E392" t="inlineStr">
        <is>
          <t>BUDGET</t>
        </is>
      </c>
      <c r="F392" s="5" t="inlineStr">
        <is>
          <t>capex_gpu</t>
        </is>
      </c>
      <c r="G392" s="13" t="n">
        <v>15000</v>
      </c>
      <c r="H392" t="inlineStr">
        <is>
          <t>假设初始化</t>
        </is>
      </c>
      <c r="I392" t="inlineStr">
        <is>
          <t>训练卡</t>
        </is>
      </c>
    </row>
    <row r="393">
      <c r="A393" t="inlineStr">
        <is>
          <t>CLOUD</t>
        </is>
      </c>
      <c r="D393" s="14" t="n">
        <v>2027</v>
      </c>
      <c r="E393" t="inlineStr">
        <is>
          <t>BUDGET</t>
        </is>
      </c>
      <c r="F393" s="5" t="inlineStr">
        <is>
          <t>capex_gpu</t>
        </is>
      </c>
      <c r="G393" s="13" t="n">
        <v>10000</v>
      </c>
      <c r="H393" t="inlineStr">
        <is>
          <t>假设初始化</t>
        </is>
      </c>
      <c r="I393" t="inlineStr">
        <is>
          <t>推理卡</t>
        </is>
      </c>
    </row>
  </sheetData>
  <autoFilter ref="A3:I3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G7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</cols>
  <sheetData>
    <row r="1">
      <c r="A1" s="15" t="inlineStr">
        <is>
          <t>智擎集团 · 指标视图层 Assumptions</t>
        </is>
      </c>
    </row>
    <row r="2">
      <c r="A2" s="2" t="inlineStr">
        <is>
          <t>全部数值实时取自 Meta 数据表（SUMIFS）| 本页只读，改数请改 Meta!G 列 | 单位：万元</t>
        </is>
      </c>
    </row>
    <row r="3">
      <c r="A3" s="3" t="inlineStr">
        <is>
          <t>科目（万元）</t>
        </is>
      </c>
      <c r="B3" s="3" t="inlineStr">
        <is>
          <t>备注</t>
        </is>
      </c>
      <c r="C3" s="16" t="n">
        <v>2023</v>
      </c>
      <c r="D3" s="16" t="n">
        <v>2024</v>
      </c>
      <c r="E3" s="16" t="n">
        <v>2025</v>
      </c>
      <c r="F3" s="17" t="n">
        <v>2026</v>
      </c>
      <c r="G3" s="17" t="n">
        <v>2027</v>
      </c>
    </row>
    <row r="4">
      <c r="A4" s="18" t="inlineStr">
        <is>
          <t>── 集团共用 ──</t>
        </is>
      </c>
      <c r="B4" s="19" t="n"/>
      <c r="C4" s="19" t="n"/>
      <c r="D4" s="19" t="n"/>
      <c r="E4" s="19" t="n"/>
      <c r="F4" s="19" t="n"/>
      <c r="G4" s="19" t="n"/>
    </row>
    <row r="5">
      <c r="A5" s="20" t="inlineStr">
        <is>
          <t>所得税率（高新15%）</t>
        </is>
      </c>
      <c r="C5" s="21">
        <f>SUMIFS(Meta!$G$2:$G$400,Meta!$F$2:$F$400,"tax_rate",Meta!$D$2:$D$400,C$3,Meta!$A$2:$A$400,"GROUP")</f>
        <v/>
      </c>
      <c r="D5" s="21">
        <f>SUMIFS(Meta!$G$2:$G$400,Meta!$F$2:$F$400,"tax_rate",Meta!$D$2:$D$400,D$3,Meta!$A$2:$A$400,"GROUP")</f>
        <v/>
      </c>
      <c r="E5" s="21">
        <f>SUMIFS(Meta!$G$2:$G$400,Meta!$F$2:$F$400,"tax_rate",Meta!$D$2:$D$400,E$3,Meta!$A$2:$A$400,"GROUP")</f>
        <v/>
      </c>
      <c r="F5" s="21">
        <f>SUMIFS(Meta!$G$2:$G$400,Meta!$F$2:$F$400,"tax_rate",Meta!$D$2:$D$400,F$3,Meta!$A$2:$A$400,"GROUP")</f>
        <v/>
      </c>
      <c r="G5" s="21">
        <f>SUMIFS(Meta!$G$2:$G$400,Meta!$F$2:$F$400,"tax_rate",Meta!$D$2:$D$400,G$3,Meta!$A$2:$A$400,"GROUP")</f>
        <v/>
      </c>
    </row>
    <row r="6">
      <c r="A6" s="20" t="inlineStr">
        <is>
          <t>应收账期（天）</t>
        </is>
      </c>
      <c r="C6" s="22">
        <f>SUMIFS(Meta!$G$2:$G$400,Meta!$F$2:$F$400,"dso_days",Meta!$D$2:$D$400,C$3,Meta!$A$2:$A$400,"GROUP")</f>
        <v/>
      </c>
      <c r="D6" s="22">
        <f>SUMIFS(Meta!$G$2:$G$400,Meta!$F$2:$F$400,"dso_days",Meta!$D$2:$D$400,D$3,Meta!$A$2:$A$400,"GROUP")</f>
        <v/>
      </c>
      <c r="E6" s="22">
        <f>SUMIFS(Meta!$G$2:$G$400,Meta!$F$2:$F$400,"dso_days",Meta!$D$2:$D$400,E$3,Meta!$A$2:$A$400,"GROUP")</f>
        <v/>
      </c>
      <c r="F6" s="22">
        <f>SUMIFS(Meta!$G$2:$G$400,Meta!$F$2:$F$400,"dso_days",Meta!$D$2:$D$400,F$3,Meta!$A$2:$A$400,"GROUP")</f>
        <v/>
      </c>
      <c r="G6" s="22">
        <f>SUMIFS(Meta!$G$2:$G$400,Meta!$F$2:$F$400,"dso_days",Meta!$D$2:$D$400,G$3,Meta!$A$2:$A$400,"GROUP")</f>
        <v/>
      </c>
    </row>
    <row r="7">
      <c r="A7" s="20" t="inlineStr">
        <is>
          <t>应付账期（天）</t>
        </is>
      </c>
      <c r="C7" s="22">
        <f>SUMIFS(Meta!$G$2:$G$400,Meta!$F$2:$F$400,"dpo_days",Meta!$D$2:$D$400,C$3,Meta!$A$2:$A$400,"GROUP")</f>
        <v/>
      </c>
      <c r="D7" s="22">
        <f>SUMIFS(Meta!$G$2:$G$400,Meta!$F$2:$F$400,"dpo_days",Meta!$D$2:$D$400,D$3,Meta!$A$2:$A$400,"GROUP")</f>
        <v/>
      </c>
      <c r="E7" s="22">
        <f>SUMIFS(Meta!$G$2:$G$400,Meta!$F$2:$F$400,"dpo_days",Meta!$D$2:$D$400,E$3,Meta!$A$2:$A$400,"GROUP")</f>
        <v/>
      </c>
      <c r="F7" s="22">
        <f>SUMIFS(Meta!$G$2:$G$400,Meta!$F$2:$F$400,"dpo_days",Meta!$D$2:$D$400,F$3,Meta!$A$2:$A$400,"GROUP")</f>
        <v/>
      </c>
      <c r="G7" s="22">
        <f>SUMIFS(Meta!$G$2:$G$400,Meta!$F$2:$F$400,"dpo_days",Meta!$D$2:$D$400,G$3,Meta!$A$2:$A$400,"GROUP")</f>
        <v/>
      </c>
    </row>
    <row r="8">
      <c r="A8" s="20" t="inlineStr">
        <is>
          <t>内部往来账期（天）</t>
        </is>
      </c>
      <c r="C8" s="22">
        <f>SUMIFS(Meta!$G$2:$G$400,Meta!$F$2:$F$400,"ic_days",Meta!$D$2:$D$400,C$3,Meta!$A$2:$A$400,"GROUP")</f>
        <v/>
      </c>
      <c r="D8" s="22">
        <f>SUMIFS(Meta!$G$2:$G$400,Meta!$F$2:$F$400,"ic_days",Meta!$D$2:$D$400,D$3,Meta!$A$2:$A$400,"GROUP")</f>
        <v/>
      </c>
      <c r="E8" s="22">
        <f>SUMIFS(Meta!$G$2:$G$400,Meta!$F$2:$F$400,"ic_days",Meta!$D$2:$D$400,E$3,Meta!$A$2:$A$400,"GROUP")</f>
        <v/>
      </c>
      <c r="F8" s="22">
        <f>SUMIFS(Meta!$G$2:$G$400,Meta!$F$2:$F$400,"ic_days",Meta!$D$2:$D$400,F$3,Meta!$A$2:$A$400,"GROUP")</f>
        <v/>
      </c>
      <c r="G8" s="22">
        <f>SUMIFS(Meta!$G$2:$G$400,Meta!$F$2:$F$400,"ic_days",Meta!$D$2:$D$400,G$3,Meta!$A$2:$A$400,"GROUP")</f>
        <v/>
      </c>
    </row>
    <row r="9">
      <c r="A9" s="20" t="inlineStr">
        <is>
          <t>WACC（项目评估）</t>
        </is>
      </c>
      <c r="C9" s="21">
        <f>SUMIFS(Meta!$G$2:$G$400,Meta!$F$2:$F$400,"wacc",Meta!$D$2:$D$400,C$3,Meta!$A$2:$A$400,"GROUP")</f>
        <v/>
      </c>
      <c r="D9" s="21">
        <f>SUMIFS(Meta!$G$2:$G$400,Meta!$F$2:$F$400,"wacc",Meta!$D$2:$D$400,D$3,Meta!$A$2:$A$400,"GROUP")</f>
        <v/>
      </c>
      <c r="E9" s="21">
        <f>SUMIFS(Meta!$G$2:$G$400,Meta!$F$2:$F$400,"wacc",Meta!$D$2:$D$400,E$3,Meta!$A$2:$A$400,"GROUP")</f>
        <v/>
      </c>
      <c r="F9" s="21">
        <f>SUMIFS(Meta!$G$2:$G$400,Meta!$F$2:$F$400,"wacc",Meta!$D$2:$D$400,F$3,Meta!$A$2:$A$400,"GROUP")</f>
        <v/>
      </c>
      <c r="G9" s="21">
        <f>SUMIFS(Meta!$G$2:$G$400,Meta!$F$2:$F$400,"wacc",Meta!$D$2:$D$400,G$3,Meta!$A$2:$A$400,"GROUP")</f>
        <v/>
      </c>
    </row>
    <row r="10">
      <c r="A10" s="18" t="inlineStr">
        <is>
          <t>── 智擎云 · MaaS ──</t>
        </is>
      </c>
      <c r="B10" s="19" t="n"/>
      <c r="C10" s="19" t="n"/>
      <c r="D10" s="19" t="n"/>
      <c r="E10" s="19" t="n"/>
      <c r="F10" s="19" t="n"/>
      <c r="G10" s="19" t="n"/>
    </row>
    <row r="11">
      <c r="A11" s="20" t="inlineStr">
        <is>
          <t>日均 token 消耗（B/day）</t>
        </is>
      </c>
      <c r="B11" s="2" t="inlineStr">
        <is>
          <t>智谱 bigmodel 模式</t>
        </is>
      </c>
      <c r="C11" s="22">
        <f>SUMIFS(Meta!$G$2:$G$400,Meta!$F$2:$F$400,"token_volume_day",Meta!$D$2:$D$400,C$3,Meta!$A$2:$A$400,"CLOUD")</f>
        <v/>
      </c>
      <c r="D11" s="22">
        <f>SUMIFS(Meta!$G$2:$G$400,Meta!$F$2:$F$400,"token_volume_day",Meta!$D$2:$D$400,D$3,Meta!$A$2:$A$400,"CLOUD")</f>
        <v/>
      </c>
      <c r="E11" s="22">
        <f>SUMIFS(Meta!$G$2:$G$400,Meta!$F$2:$F$400,"token_volume_day",Meta!$D$2:$D$400,E$3,Meta!$A$2:$A$400,"CLOUD")</f>
        <v/>
      </c>
      <c r="F11" s="22">
        <f>SUMIFS(Meta!$G$2:$G$400,Meta!$F$2:$F$400,"token_volume_day",Meta!$D$2:$D$400,F$3,Meta!$A$2:$A$400,"CLOUD")</f>
        <v/>
      </c>
      <c r="G11" s="22">
        <f>SUMIFS(Meta!$G$2:$G$400,Meta!$F$2:$F$400,"token_volume_day",Meta!$D$2:$D$400,G$3,Meta!$A$2:$A$400,"CLOUD")</f>
        <v/>
      </c>
    </row>
    <row r="12">
      <c r="A12" s="20" t="inlineStr">
        <is>
          <t>综合单价（元/M tokens）</t>
        </is>
      </c>
      <c r="B12" s="2" t="inlineStr">
        <is>
          <t>混合计价</t>
        </is>
      </c>
      <c r="C12" s="23">
        <f>SUMIFS(Meta!$G$2:$G$400,Meta!$F$2:$F$400,"api_price",Meta!$D$2:$D$400,C$3,Meta!$A$2:$A$400,"CLOUD")</f>
        <v/>
      </c>
      <c r="D12" s="23">
        <f>SUMIFS(Meta!$G$2:$G$400,Meta!$F$2:$F$400,"api_price",Meta!$D$2:$D$400,D$3,Meta!$A$2:$A$400,"CLOUD")</f>
        <v/>
      </c>
      <c r="E12" s="23">
        <f>SUMIFS(Meta!$G$2:$G$400,Meta!$F$2:$F$400,"api_price",Meta!$D$2:$D$400,E$3,Meta!$A$2:$A$400,"CLOUD")</f>
        <v/>
      </c>
      <c r="F12" s="23">
        <f>SUMIFS(Meta!$G$2:$G$400,Meta!$F$2:$F$400,"api_price",Meta!$D$2:$D$400,F$3,Meta!$A$2:$A$400,"CLOUD")</f>
        <v/>
      </c>
      <c r="G12" s="23">
        <f>SUMIFS(Meta!$G$2:$G$400,Meta!$F$2:$F$400,"api_price",Meta!$D$2:$D$400,G$3,Meta!$A$2:$A$400,"CLOUD")</f>
        <v/>
      </c>
    </row>
    <row r="13">
      <c r="A13" s="20" t="inlineStr">
        <is>
          <t>推理单位成本（元/M tokens）</t>
        </is>
      </c>
      <c r="B13" s="2" t="inlineStr">
        <is>
          <t>自持+外租混合</t>
        </is>
      </c>
      <c r="C13" s="23">
        <f>SUMIFS(Meta!$G$2:$G$400,Meta!$F$2:$F$400,"inference_ucost",Meta!$D$2:$D$400,C$3,Meta!$A$2:$A$400,"CLOUD")</f>
        <v/>
      </c>
      <c r="D13" s="23">
        <f>SUMIFS(Meta!$G$2:$G$400,Meta!$F$2:$F$400,"inference_ucost",Meta!$D$2:$D$400,D$3,Meta!$A$2:$A$400,"CLOUD")</f>
        <v/>
      </c>
      <c r="E13" s="23">
        <f>SUMIFS(Meta!$G$2:$G$400,Meta!$F$2:$F$400,"inference_ucost",Meta!$D$2:$D$400,E$3,Meta!$A$2:$A$400,"CLOUD")</f>
        <v/>
      </c>
      <c r="F13" s="23">
        <f>SUMIFS(Meta!$G$2:$G$400,Meta!$F$2:$F$400,"inference_ucost",Meta!$D$2:$D$400,F$3,Meta!$A$2:$A$400,"CLOUD")</f>
        <v/>
      </c>
      <c r="G13" s="23">
        <f>SUMIFS(Meta!$G$2:$G$400,Meta!$F$2:$F$400,"inference_ucost",Meta!$D$2:$D$400,G$3,Meta!$A$2:$A$400,"CLOUD")</f>
        <v/>
      </c>
    </row>
    <row r="14">
      <c r="A14" s="20" t="inlineStr">
        <is>
          <t>带宽机房费用</t>
        </is>
      </c>
      <c r="C14" s="24">
        <f>SUMIFS(Meta!$G$2:$G$400,Meta!$F$2:$F$400,"bandwidth_fee",Meta!$D$2:$D$400,C$3,Meta!$A$2:$A$400,"CLOUD")</f>
        <v/>
      </c>
      <c r="D14" s="24">
        <f>SUMIFS(Meta!$G$2:$G$400,Meta!$F$2:$F$400,"bandwidth_fee",Meta!$D$2:$D$400,D$3,Meta!$A$2:$A$400,"CLOUD")</f>
        <v/>
      </c>
      <c r="E14" s="24">
        <f>SUMIFS(Meta!$G$2:$G$400,Meta!$F$2:$F$400,"bandwidth_fee",Meta!$D$2:$D$400,E$3,Meta!$A$2:$A$400,"CLOUD")</f>
        <v/>
      </c>
      <c r="F14" s="24">
        <f>SUMIFS(Meta!$G$2:$G$400,Meta!$F$2:$F$400,"bandwidth_fee",Meta!$D$2:$D$400,F$3,Meta!$A$2:$A$400,"CLOUD")</f>
        <v/>
      </c>
      <c r="G14" s="24">
        <f>SUMIFS(Meta!$G$2:$G$400,Meta!$F$2:$F$400,"bandwidth_fee",Meta!$D$2:$D$400,G$3,Meta!$A$2:$A$400,"CLOUD")</f>
        <v/>
      </c>
    </row>
    <row r="15">
      <c r="A15" s="20" t="inlineStr">
        <is>
          <t>研发编制（人）</t>
        </is>
      </c>
      <c r="C15" s="22">
        <f>SUMIFS(Meta!$G$2:$G$400,Meta!$F$2:$F$400,"headcount_rd",Meta!$D$2:$D$400,C$3,Meta!$A$2:$A$400,"CLOUD")</f>
        <v/>
      </c>
      <c r="D15" s="22">
        <f>SUMIFS(Meta!$G$2:$G$400,Meta!$F$2:$F$400,"headcount_rd",Meta!$D$2:$D$400,D$3,Meta!$A$2:$A$400,"CLOUD")</f>
        <v/>
      </c>
      <c r="E15" s="22">
        <f>SUMIFS(Meta!$G$2:$G$400,Meta!$F$2:$F$400,"headcount_rd",Meta!$D$2:$D$400,E$3,Meta!$A$2:$A$400,"CLOUD")</f>
        <v/>
      </c>
      <c r="F15" s="22">
        <f>SUMIFS(Meta!$G$2:$G$400,Meta!$F$2:$F$400,"headcount_rd",Meta!$D$2:$D$400,F$3,Meta!$A$2:$A$400,"CLOUD")</f>
        <v/>
      </c>
      <c r="G15" s="22">
        <f>SUMIFS(Meta!$G$2:$G$400,Meta!$F$2:$F$400,"headcount_rd",Meta!$D$2:$D$400,G$3,Meta!$A$2:$A$400,"CLOUD")</f>
        <v/>
      </c>
    </row>
    <row r="16">
      <c r="A16" s="20" t="inlineStr">
        <is>
          <t>销售编制（人）</t>
        </is>
      </c>
      <c r="C16" s="22">
        <f>SUMIFS(Meta!$G$2:$G$400,Meta!$F$2:$F$400,"headcount_sales",Meta!$D$2:$D$400,C$3,Meta!$A$2:$A$400,"CLOUD")</f>
        <v/>
      </c>
      <c r="D16" s="22">
        <f>SUMIFS(Meta!$G$2:$G$400,Meta!$F$2:$F$400,"headcount_sales",Meta!$D$2:$D$400,D$3,Meta!$A$2:$A$400,"CLOUD")</f>
        <v/>
      </c>
      <c r="E16" s="22">
        <f>SUMIFS(Meta!$G$2:$G$400,Meta!$F$2:$F$400,"headcount_sales",Meta!$D$2:$D$400,E$3,Meta!$A$2:$A$400,"CLOUD")</f>
        <v/>
      </c>
      <c r="F16" s="22">
        <f>SUMIFS(Meta!$G$2:$G$400,Meta!$F$2:$F$400,"headcount_sales",Meta!$D$2:$D$400,F$3,Meta!$A$2:$A$400,"CLOUD")</f>
        <v/>
      </c>
      <c r="G16" s="22">
        <f>SUMIFS(Meta!$G$2:$G$400,Meta!$F$2:$F$400,"headcount_sales",Meta!$D$2:$D$400,G$3,Meta!$A$2:$A$400,"CLOUD")</f>
        <v/>
      </c>
    </row>
    <row r="17">
      <c r="A17" s="20" t="inlineStr">
        <is>
          <t>管理编制（人）</t>
        </is>
      </c>
      <c r="C17" s="22">
        <f>SUMIFS(Meta!$G$2:$G$400,Meta!$F$2:$F$400,"headcount_gna",Meta!$D$2:$D$400,C$3,Meta!$A$2:$A$400,"CLOUD")</f>
        <v/>
      </c>
      <c r="D17" s="22">
        <f>SUMIFS(Meta!$G$2:$G$400,Meta!$F$2:$F$400,"headcount_gna",Meta!$D$2:$D$400,D$3,Meta!$A$2:$A$400,"CLOUD")</f>
        <v/>
      </c>
      <c r="E17" s="22">
        <f>SUMIFS(Meta!$G$2:$G$400,Meta!$F$2:$F$400,"headcount_gna",Meta!$D$2:$D$400,E$3,Meta!$A$2:$A$400,"CLOUD")</f>
        <v/>
      </c>
      <c r="F17" s="22">
        <f>SUMIFS(Meta!$G$2:$G$400,Meta!$F$2:$F$400,"headcount_gna",Meta!$D$2:$D$400,F$3,Meta!$A$2:$A$400,"CLOUD")</f>
        <v/>
      </c>
      <c r="G17" s="22">
        <f>SUMIFS(Meta!$G$2:$G$400,Meta!$F$2:$F$400,"headcount_gna",Meta!$D$2:$D$400,G$3,Meta!$A$2:$A$400,"CLOUD")</f>
        <v/>
      </c>
    </row>
    <row r="18">
      <c r="A18" s="20" t="inlineStr">
        <is>
          <t>付费客户数（家）</t>
        </is>
      </c>
      <c r="B18" s="2" t="inlineStr">
        <is>
          <t>UE 用</t>
        </is>
      </c>
      <c r="C18" s="22">
        <f>SUMIFS(Meta!$G$2:$G$400,Meta!$F$2:$F$400,"customers",Meta!$D$2:$D$400,C$3,Meta!$A$2:$A$400,"CLOUD")</f>
        <v/>
      </c>
      <c r="D18" s="22">
        <f>SUMIFS(Meta!$G$2:$G$400,Meta!$F$2:$F$400,"customers",Meta!$D$2:$D$400,D$3,Meta!$A$2:$A$400,"CLOUD")</f>
        <v/>
      </c>
      <c r="E18" s="22">
        <f>SUMIFS(Meta!$G$2:$G$400,Meta!$F$2:$F$400,"customers",Meta!$D$2:$D$400,E$3,Meta!$A$2:$A$400,"CLOUD")</f>
        <v/>
      </c>
      <c r="F18" s="22">
        <f>SUMIFS(Meta!$G$2:$G$400,Meta!$F$2:$F$400,"customers",Meta!$D$2:$D$400,F$3,Meta!$A$2:$A$400,"CLOUD")</f>
        <v/>
      </c>
      <c r="G18" s="22">
        <f>SUMIFS(Meta!$G$2:$G$400,Meta!$F$2:$F$400,"customers",Meta!$D$2:$D$400,G$3,Meta!$A$2:$A$400,"CLOUD")</f>
        <v/>
      </c>
    </row>
    <row r="19">
      <c r="A19" s="20" t="inlineStr">
        <is>
          <t>月流失率</t>
        </is>
      </c>
      <c r="B19" s="2" t="inlineStr">
        <is>
          <t>UE 用</t>
        </is>
      </c>
      <c r="C19" s="21">
        <f>SUMIFS(Meta!$G$2:$G$400,Meta!$F$2:$F$400,"churn_m",Meta!$D$2:$D$400,C$3,Meta!$A$2:$A$400,"CLOUD")</f>
        <v/>
      </c>
      <c r="D19" s="21">
        <f>SUMIFS(Meta!$G$2:$G$400,Meta!$F$2:$F$400,"churn_m",Meta!$D$2:$D$400,D$3,Meta!$A$2:$A$400,"CLOUD")</f>
        <v/>
      </c>
      <c r="E19" s="21">
        <f>SUMIFS(Meta!$G$2:$G$400,Meta!$F$2:$F$400,"churn_m",Meta!$D$2:$D$400,E$3,Meta!$A$2:$A$400,"CLOUD")</f>
        <v/>
      </c>
      <c r="F19" s="21">
        <f>SUMIFS(Meta!$G$2:$G$400,Meta!$F$2:$F$400,"churn_m",Meta!$D$2:$D$400,F$3,Meta!$A$2:$A$400,"CLOUD")</f>
        <v/>
      </c>
      <c r="G19" s="21">
        <f>SUMIFS(Meta!$G$2:$G$400,Meta!$F$2:$F$400,"churn_m",Meta!$D$2:$D$400,G$3,Meta!$A$2:$A$400,"CLOUD")</f>
        <v/>
      </c>
    </row>
    <row r="20">
      <c r="A20" s="18" t="inlineStr">
        <is>
          <t>── 智擎行业 · 私有化+解决方案 ──</t>
        </is>
      </c>
      <c r="B20" s="19" t="n"/>
      <c r="C20" s="19" t="n"/>
      <c r="D20" s="19" t="n"/>
      <c r="E20" s="19" t="n"/>
      <c r="F20" s="19" t="n"/>
      <c r="G20" s="19" t="n"/>
    </row>
    <row r="21">
      <c r="A21" s="20" t="inlineStr">
        <is>
          <t>私有化项目数（个）</t>
        </is>
      </c>
      <c r="C21" s="22">
        <f>SUMIFS(Meta!$G$2:$G$400,Meta!$F$2:$F$400,"projects_pvt",Meta!$D$2:$D$400,C$3,Meta!$A$2:$A$400,"IND")</f>
        <v/>
      </c>
      <c r="D21" s="22">
        <f>SUMIFS(Meta!$G$2:$G$400,Meta!$F$2:$F$400,"projects_pvt",Meta!$D$2:$D$400,D$3,Meta!$A$2:$A$400,"IND")</f>
        <v/>
      </c>
      <c r="E21" s="22">
        <f>SUMIFS(Meta!$G$2:$G$400,Meta!$F$2:$F$400,"projects_pvt",Meta!$D$2:$D$400,E$3,Meta!$A$2:$A$400,"IND")</f>
        <v/>
      </c>
      <c r="F21" s="22">
        <f>SUMIFS(Meta!$G$2:$G$400,Meta!$F$2:$F$400,"projects_pvt",Meta!$D$2:$D$400,F$3,Meta!$A$2:$A$400,"IND")</f>
        <v/>
      </c>
      <c r="G21" s="22">
        <f>SUMIFS(Meta!$G$2:$G$400,Meta!$F$2:$F$400,"projects_pvt",Meta!$D$2:$D$400,G$3,Meta!$A$2:$A$400,"IND")</f>
        <v/>
      </c>
    </row>
    <row r="22">
      <c r="A22" s="20" t="inlineStr">
        <is>
          <t>平均合同额</t>
        </is>
      </c>
      <c r="C22" s="24">
        <f>SUMIFS(Meta!$G$2:$G$400,Meta!$F$2:$F$400,"avg_contract",Meta!$D$2:$D$400,C$3,Meta!$A$2:$A$400,"IND")</f>
        <v/>
      </c>
      <c r="D22" s="24">
        <f>SUMIFS(Meta!$G$2:$G$400,Meta!$F$2:$F$400,"avg_contract",Meta!$D$2:$D$400,D$3,Meta!$A$2:$A$400,"IND")</f>
        <v/>
      </c>
      <c r="E22" s="24">
        <f>SUMIFS(Meta!$G$2:$G$400,Meta!$F$2:$F$400,"avg_contract",Meta!$D$2:$D$400,E$3,Meta!$A$2:$A$400,"IND")</f>
        <v/>
      </c>
      <c r="F22" s="24">
        <f>SUMIFS(Meta!$G$2:$G$400,Meta!$F$2:$F$400,"avg_contract",Meta!$D$2:$D$400,F$3,Meta!$A$2:$A$400,"IND")</f>
        <v/>
      </c>
      <c r="G22" s="24">
        <f>SUMIFS(Meta!$G$2:$G$400,Meta!$F$2:$F$400,"avg_contract",Meta!$D$2:$D$400,G$3,Meta!$A$2:$A$400,"IND")</f>
        <v/>
      </c>
    </row>
    <row r="23">
      <c r="A23" s="20" t="inlineStr">
        <is>
          <t>解决方案签约客户（累计）</t>
        </is>
      </c>
      <c r="B23" s="2" t="inlineStr">
        <is>
          <t>订阅/运维</t>
        </is>
      </c>
      <c r="C23" s="22">
        <f>SUMIFS(Meta!$G$2:$G$400,Meta!$F$2:$F$400,"subscribers_sol",Meta!$D$2:$D$400,C$3,Meta!$A$2:$A$400,"IND")</f>
        <v/>
      </c>
      <c r="D23" s="22">
        <f>SUMIFS(Meta!$G$2:$G$400,Meta!$F$2:$F$400,"subscribers_sol",Meta!$D$2:$D$400,D$3,Meta!$A$2:$A$400,"IND")</f>
        <v/>
      </c>
      <c r="E23" s="22">
        <f>SUMIFS(Meta!$G$2:$G$400,Meta!$F$2:$F$400,"subscribers_sol",Meta!$D$2:$D$400,E$3,Meta!$A$2:$A$400,"IND")</f>
        <v/>
      </c>
      <c r="F23" s="22">
        <f>SUMIFS(Meta!$G$2:$G$400,Meta!$F$2:$F$400,"subscribers_sol",Meta!$D$2:$D$400,F$3,Meta!$A$2:$A$400,"IND")</f>
        <v/>
      </c>
      <c r="G23" s="22">
        <f>SUMIFS(Meta!$G$2:$G$400,Meta!$F$2:$F$400,"subscribers_sol",Meta!$D$2:$D$400,G$3,Meta!$A$2:$A$400,"IND")</f>
        <v/>
      </c>
    </row>
    <row r="24">
      <c r="A24" s="20" t="inlineStr">
        <is>
          <t>解决方案年费</t>
        </is>
      </c>
      <c r="C24" s="24">
        <f>SUMIFS(Meta!$G$2:$G$400,Meta!$F$2:$F$400,"sub_fee",Meta!$D$2:$D$400,C$3,Meta!$A$2:$A$400,"IND")</f>
        <v/>
      </c>
      <c r="D24" s="24">
        <f>SUMIFS(Meta!$G$2:$G$400,Meta!$F$2:$F$400,"sub_fee",Meta!$D$2:$D$400,D$3,Meta!$A$2:$A$400,"IND")</f>
        <v/>
      </c>
      <c r="E24" s="24">
        <f>SUMIFS(Meta!$G$2:$G$400,Meta!$F$2:$F$400,"sub_fee",Meta!$D$2:$D$400,E$3,Meta!$A$2:$A$400,"IND")</f>
        <v/>
      </c>
      <c r="F24" s="24">
        <f>SUMIFS(Meta!$G$2:$G$400,Meta!$F$2:$F$400,"sub_fee",Meta!$D$2:$D$400,F$3,Meta!$A$2:$A$400,"IND")</f>
        <v/>
      </c>
      <c r="G24" s="24">
        <f>SUMIFS(Meta!$G$2:$G$400,Meta!$F$2:$F$400,"sub_fee",Meta!$D$2:$D$400,G$3,Meta!$A$2:$A$400,"IND")</f>
        <v/>
      </c>
    </row>
    <row r="25">
      <c r="A25" s="20" t="inlineStr">
        <is>
          <t>私有化成本率（硬件+人力）</t>
        </is>
      </c>
      <c r="C25" s="21">
        <f>SUMIFS(Meta!$G$2:$G$400,Meta!$F$2:$F$400,"cogs_rate_pvt",Meta!$D$2:$D$400,C$3,Meta!$A$2:$A$400,"IND")</f>
        <v/>
      </c>
      <c r="D25" s="21">
        <f>SUMIFS(Meta!$G$2:$G$400,Meta!$F$2:$F$400,"cogs_rate_pvt",Meta!$D$2:$D$400,D$3,Meta!$A$2:$A$400,"IND")</f>
        <v/>
      </c>
      <c r="E25" s="21">
        <f>SUMIFS(Meta!$G$2:$G$400,Meta!$F$2:$F$400,"cogs_rate_pvt",Meta!$D$2:$D$400,E$3,Meta!$A$2:$A$400,"IND")</f>
        <v/>
      </c>
      <c r="F25" s="21">
        <f>SUMIFS(Meta!$G$2:$G$400,Meta!$F$2:$F$400,"cogs_rate_pvt",Meta!$D$2:$D$400,F$3,Meta!$A$2:$A$400,"IND")</f>
        <v/>
      </c>
      <c r="G25" s="21">
        <f>SUMIFS(Meta!$G$2:$G$400,Meta!$F$2:$F$400,"cogs_rate_pvt",Meta!$D$2:$D$400,G$3,Meta!$A$2:$A$400,"IND")</f>
        <v/>
      </c>
    </row>
    <row r="26">
      <c r="A26" s="20" t="inlineStr">
        <is>
          <t>解决方案成本率</t>
        </is>
      </c>
      <c r="C26" s="21">
        <f>SUMIFS(Meta!$G$2:$G$400,Meta!$F$2:$F$400,"cogs_rate_sol",Meta!$D$2:$D$400,C$3,Meta!$A$2:$A$400,"IND")</f>
        <v/>
      </c>
      <c r="D26" s="21">
        <f>SUMIFS(Meta!$G$2:$G$400,Meta!$F$2:$F$400,"cogs_rate_sol",Meta!$D$2:$D$400,D$3,Meta!$A$2:$A$400,"IND")</f>
        <v/>
      </c>
      <c r="E26" s="21">
        <f>SUMIFS(Meta!$G$2:$G$400,Meta!$F$2:$F$400,"cogs_rate_sol",Meta!$D$2:$D$400,E$3,Meta!$A$2:$A$400,"IND")</f>
        <v/>
      </c>
      <c r="F26" s="21">
        <f>SUMIFS(Meta!$G$2:$G$400,Meta!$F$2:$F$400,"cogs_rate_sol",Meta!$D$2:$D$400,F$3,Meta!$A$2:$A$400,"IND")</f>
        <v/>
      </c>
      <c r="G26" s="21">
        <f>SUMIFS(Meta!$G$2:$G$400,Meta!$F$2:$F$400,"cogs_rate_sol",Meta!$D$2:$D$400,G$3,Meta!$A$2:$A$400,"IND")</f>
        <v/>
      </c>
    </row>
    <row r="27">
      <c r="A27" s="20" t="inlineStr">
        <is>
          <t>研发编制（人）</t>
        </is>
      </c>
      <c r="C27" s="22">
        <f>SUMIFS(Meta!$G$2:$G$400,Meta!$F$2:$F$400,"headcount_rd",Meta!$D$2:$D$400,C$3,Meta!$A$2:$A$400,"IND")</f>
        <v/>
      </c>
      <c r="D27" s="22">
        <f>SUMIFS(Meta!$G$2:$G$400,Meta!$F$2:$F$400,"headcount_rd",Meta!$D$2:$D$400,D$3,Meta!$A$2:$A$400,"IND")</f>
        <v/>
      </c>
      <c r="E27" s="22">
        <f>SUMIFS(Meta!$G$2:$G$400,Meta!$F$2:$F$400,"headcount_rd",Meta!$D$2:$D$400,E$3,Meta!$A$2:$A$400,"IND")</f>
        <v/>
      </c>
      <c r="F27" s="22">
        <f>SUMIFS(Meta!$G$2:$G$400,Meta!$F$2:$F$400,"headcount_rd",Meta!$D$2:$D$400,F$3,Meta!$A$2:$A$400,"IND")</f>
        <v/>
      </c>
      <c r="G27" s="22">
        <f>SUMIFS(Meta!$G$2:$G$400,Meta!$F$2:$F$400,"headcount_rd",Meta!$D$2:$D$400,G$3,Meta!$A$2:$A$400,"IND")</f>
        <v/>
      </c>
    </row>
    <row r="28">
      <c r="A28" s="20" t="inlineStr">
        <is>
          <t>销售编制（人）</t>
        </is>
      </c>
      <c r="C28" s="22">
        <f>SUMIFS(Meta!$G$2:$G$400,Meta!$F$2:$F$400,"headcount_sales",Meta!$D$2:$D$400,C$3,Meta!$A$2:$A$400,"IND")</f>
        <v/>
      </c>
      <c r="D28" s="22">
        <f>SUMIFS(Meta!$G$2:$G$400,Meta!$F$2:$F$400,"headcount_sales",Meta!$D$2:$D$400,D$3,Meta!$A$2:$A$400,"IND")</f>
        <v/>
      </c>
      <c r="E28" s="22">
        <f>SUMIFS(Meta!$G$2:$G$400,Meta!$F$2:$F$400,"headcount_sales",Meta!$D$2:$D$400,E$3,Meta!$A$2:$A$400,"IND")</f>
        <v/>
      </c>
      <c r="F28" s="22">
        <f>SUMIFS(Meta!$G$2:$G$400,Meta!$F$2:$F$400,"headcount_sales",Meta!$D$2:$D$400,F$3,Meta!$A$2:$A$400,"IND")</f>
        <v/>
      </c>
      <c r="G28" s="22">
        <f>SUMIFS(Meta!$G$2:$G$400,Meta!$F$2:$F$400,"headcount_sales",Meta!$D$2:$D$400,G$3,Meta!$A$2:$A$400,"IND")</f>
        <v/>
      </c>
    </row>
    <row r="29">
      <c r="A29" s="20" t="inlineStr">
        <is>
          <t>管理编制（人）</t>
        </is>
      </c>
      <c r="C29" s="22">
        <f>SUMIFS(Meta!$G$2:$G$400,Meta!$F$2:$F$400,"headcount_gna",Meta!$D$2:$D$400,C$3,Meta!$A$2:$A$400,"IND")</f>
        <v/>
      </c>
      <c r="D29" s="22">
        <f>SUMIFS(Meta!$G$2:$G$400,Meta!$F$2:$F$400,"headcount_gna",Meta!$D$2:$D$400,D$3,Meta!$A$2:$A$400,"IND")</f>
        <v/>
      </c>
      <c r="E29" s="22">
        <f>SUMIFS(Meta!$G$2:$G$400,Meta!$F$2:$F$400,"headcount_gna",Meta!$D$2:$D$400,E$3,Meta!$A$2:$A$400,"IND")</f>
        <v/>
      </c>
      <c r="F29" s="22">
        <f>SUMIFS(Meta!$G$2:$G$400,Meta!$F$2:$F$400,"headcount_gna",Meta!$D$2:$D$400,F$3,Meta!$A$2:$A$400,"IND")</f>
        <v/>
      </c>
      <c r="G29" s="22">
        <f>SUMIFS(Meta!$G$2:$G$400,Meta!$F$2:$F$400,"headcount_gna",Meta!$D$2:$D$400,G$3,Meta!$A$2:$A$400,"IND")</f>
        <v/>
      </c>
    </row>
    <row r="30">
      <c r="A30" s="18" t="inlineStr">
        <is>
          <t>── 智擎互联 · C端 ──</t>
        </is>
      </c>
      <c r="B30" s="19" t="n"/>
      <c r="C30" s="19" t="n"/>
      <c r="D30" s="19" t="n"/>
      <c r="E30" s="19" t="n"/>
      <c r="F30" s="19" t="n"/>
      <c r="G30" s="19" t="n"/>
    </row>
    <row r="31">
      <c r="A31" s="20" t="inlineStr">
        <is>
          <t>MAU（万人）</t>
        </is>
      </c>
      <c r="C31" s="22">
        <f>SUMIFS(Meta!$G$2:$G$400,Meta!$F$2:$F$400,"mau_w",Meta!$D$2:$D$400,C$3,Meta!$A$2:$A$400,"TOC")</f>
        <v/>
      </c>
      <c r="D31" s="22">
        <f>SUMIFS(Meta!$G$2:$G$400,Meta!$F$2:$F$400,"mau_w",Meta!$D$2:$D$400,D$3,Meta!$A$2:$A$400,"TOC")</f>
        <v/>
      </c>
      <c r="E31" s="22">
        <f>SUMIFS(Meta!$G$2:$G$400,Meta!$F$2:$F$400,"mau_w",Meta!$D$2:$D$400,E$3,Meta!$A$2:$A$400,"TOC")</f>
        <v/>
      </c>
      <c r="F31" s="22">
        <f>SUMIFS(Meta!$G$2:$G$400,Meta!$F$2:$F$400,"mau_w",Meta!$D$2:$D$400,F$3,Meta!$A$2:$A$400,"TOC")</f>
        <v/>
      </c>
      <c r="G31" s="22">
        <f>SUMIFS(Meta!$G$2:$G$400,Meta!$F$2:$F$400,"mau_w",Meta!$D$2:$D$400,G$3,Meta!$A$2:$A$400,"TOC")</f>
        <v/>
      </c>
    </row>
    <row r="32">
      <c r="A32" s="20" t="inlineStr">
        <is>
          <t>付费转化率</t>
        </is>
      </c>
      <c r="C32" s="21">
        <f>SUMIFS(Meta!$G$2:$G$400,Meta!$F$2:$F$400,"pay_rate",Meta!$D$2:$D$400,C$3,Meta!$A$2:$A$400,"TOC")</f>
        <v/>
      </c>
      <c r="D32" s="21">
        <f>SUMIFS(Meta!$G$2:$G$400,Meta!$F$2:$F$400,"pay_rate",Meta!$D$2:$D$400,D$3,Meta!$A$2:$A$400,"TOC")</f>
        <v/>
      </c>
      <c r="E32" s="21">
        <f>SUMIFS(Meta!$G$2:$G$400,Meta!$F$2:$F$400,"pay_rate",Meta!$D$2:$D$400,E$3,Meta!$A$2:$A$400,"TOC")</f>
        <v/>
      </c>
      <c r="F32" s="21">
        <f>SUMIFS(Meta!$G$2:$G$400,Meta!$F$2:$F$400,"pay_rate",Meta!$D$2:$D$400,F$3,Meta!$A$2:$A$400,"TOC")</f>
        <v/>
      </c>
      <c r="G32" s="21">
        <f>SUMIFS(Meta!$G$2:$G$400,Meta!$F$2:$F$400,"pay_rate",Meta!$D$2:$D$400,G$3,Meta!$A$2:$A$400,"TOC")</f>
        <v/>
      </c>
    </row>
    <row r="33">
      <c r="A33" s="20" t="inlineStr">
        <is>
          <t>ARPPU（元/付费用户/月）</t>
        </is>
      </c>
      <c r="C33" s="25">
        <f>SUMIFS(Meta!$G$2:$G$400,Meta!$F$2:$F$400,"arppu",Meta!$D$2:$D$400,C$3,Meta!$A$2:$A$400,"TOC")</f>
        <v/>
      </c>
      <c r="D33" s="25">
        <f>SUMIFS(Meta!$G$2:$G$400,Meta!$F$2:$F$400,"arppu",Meta!$D$2:$D$400,D$3,Meta!$A$2:$A$400,"TOC")</f>
        <v/>
      </c>
      <c r="E33" s="25">
        <f>SUMIFS(Meta!$G$2:$G$400,Meta!$F$2:$F$400,"arppu",Meta!$D$2:$D$400,E$3,Meta!$A$2:$A$400,"TOC")</f>
        <v/>
      </c>
      <c r="F33" s="25">
        <f>SUMIFS(Meta!$G$2:$G$400,Meta!$F$2:$F$400,"arppu",Meta!$D$2:$D$400,F$3,Meta!$A$2:$A$400,"TOC")</f>
        <v/>
      </c>
      <c r="G33" s="25">
        <f>SUMIFS(Meta!$G$2:$G$400,Meta!$F$2:$F$400,"arppu",Meta!$D$2:$D$400,G$3,Meta!$A$2:$A$400,"TOC")</f>
        <v/>
      </c>
    </row>
    <row r="34">
      <c r="A34" s="20" t="inlineStr">
        <is>
          <t>广告收入</t>
        </is>
      </c>
      <c r="C34" s="24">
        <f>SUMIFS(Meta!$G$2:$G$400,Meta!$F$2:$F$400,"ads_rev",Meta!$D$2:$D$400,C$3,Meta!$A$2:$A$400,"TOC")</f>
        <v/>
      </c>
      <c r="D34" s="24">
        <f>SUMIFS(Meta!$G$2:$G$400,Meta!$F$2:$F$400,"ads_rev",Meta!$D$2:$D$400,D$3,Meta!$A$2:$A$400,"TOC")</f>
        <v/>
      </c>
      <c r="E34" s="24">
        <f>SUMIFS(Meta!$G$2:$G$400,Meta!$F$2:$F$400,"ads_rev",Meta!$D$2:$D$400,E$3,Meta!$A$2:$A$400,"TOC")</f>
        <v/>
      </c>
      <c r="F34" s="24">
        <f>SUMIFS(Meta!$G$2:$G$400,Meta!$F$2:$F$400,"ads_rev",Meta!$D$2:$D$400,F$3,Meta!$A$2:$A$400,"TOC")</f>
        <v/>
      </c>
      <c r="G34" s="24">
        <f>SUMIFS(Meta!$G$2:$G$400,Meta!$F$2:$F$400,"ads_rev",Meta!$D$2:$D$400,G$3,Meta!$A$2:$A$400,"TOC")</f>
        <v/>
      </c>
    </row>
    <row r="35">
      <c r="A35" s="20" t="inlineStr">
        <is>
          <t>单位推理+带宽成本（元/MAU/月）</t>
        </is>
      </c>
      <c r="C35" s="23">
        <f>SUMIFS(Meta!$G$2:$G$400,Meta!$F$2:$F$400,"ucost_toc",Meta!$D$2:$D$400,C$3,Meta!$A$2:$A$400,"TOC")</f>
        <v/>
      </c>
      <c r="D35" s="23">
        <f>SUMIFS(Meta!$G$2:$G$400,Meta!$F$2:$F$400,"ucost_toc",Meta!$D$2:$D$400,D$3,Meta!$A$2:$A$400,"TOC")</f>
        <v/>
      </c>
      <c r="E35" s="23">
        <f>SUMIFS(Meta!$G$2:$G$400,Meta!$F$2:$F$400,"ucost_toc",Meta!$D$2:$D$400,E$3,Meta!$A$2:$A$400,"TOC")</f>
        <v/>
      </c>
      <c r="F35" s="23">
        <f>SUMIFS(Meta!$G$2:$G$400,Meta!$F$2:$F$400,"ucost_toc",Meta!$D$2:$D$400,F$3,Meta!$A$2:$A$400,"TOC")</f>
        <v/>
      </c>
      <c r="G35" s="23">
        <f>SUMIFS(Meta!$G$2:$G$400,Meta!$F$2:$F$400,"ucost_toc",Meta!$D$2:$D$400,G$3,Meta!$A$2:$A$400,"TOC")</f>
        <v/>
      </c>
    </row>
    <row r="36">
      <c r="A36" s="20" t="inlineStr">
        <is>
          <t>获客成本（元/新增用户）</t>
        </is>
      </c>
      <c r="C36" s="25">
        <f>SUMIFS(Meta!$G$2:$G$400,Meta!$F$2:$F$400,"cac",Meta!$D$2:$D$400,C$3,Meta!$A$2:$A$400,"TOC")</f>
        <v/>
      </c>
      <c r="D36" s="25">
        <f>SUMIFS(Meta!$G$2:$G$400,Meta!$F$2:$F$400,"cac",Meta!$D$2:$D$400,D$3,Meta!$A$2:$A$400,"TOC")</f>
        <v/>
      </c>
      <c r="E36" s="25">
        <f>SUMIFS(Meta!$G$2:$G$400,Meta!$F$2:$F$400,"cac",Meta!$D$2:$D$400,E$3,Meta!$A$2:$A$400,"TOC")</f>
        <v/>
      </c>
      <c r="F36" s="25">
        <f>SUMIFS(Meta!$G$2:$G$400,Meta!$F$2:$F$400,"cac",Meta!$D$2:$D$400,F$3,Meta!$A$2:$A$400,"TOC")</f>
        <v/>
      </c>
      <c r="G36" s="25">
        <f>SUMIFS(Meta!$G$2:$G$400,Meta!$F$2:$F$400,"cac",Meta!$D$2:$D$400,G$3,Meta!$A$2:$A$400,"TOC")</f>
        <v/>
      </c>
    </row>
    <row r="37">
      <c r="A37" s="20" t="inlineStr">
        <is>
          <t>新增用户=MAU增量×</t>
        </is>
      </c>
      <c r="B37" s="2" t="inlineStr">
        <is>
          <t>补流失</t>
        </is>
      </c>
      <c r="C37" s="26">
        <f>SUMIFS(Meta!$G$2:$G$400,Meta!$F$2:$F$400,"new_user_mult",Meta!$D$2:$D$400,C$3,Meta!$A$2:$A$400,"TOC")</f>
        <v/>
      </c>
      <c r="D37" s="26">
        <f>SUMIFS(Meta!$G$2:$G$400,Meta!$F$2:$F$400,"new_user_mult",Meta!$D$2:$D$400,D$3,Meta!$A$2:$A$400,"TOC")</f>
        <v/>
      </c>
      <c r="E37" s="26">
        <f>SUMIFS(Meta!$G$2:$G$400,Meta!$F$2:$F$400,"new_user_mult",Meta!$D$2:$D$400,E$3,Meta!$A$2:$A$400,"TOC")</f>
        <v/>
      </c>
      <c r="F37" s="26">
        <f>SUMIFS(Meta!$G$2:$G$400,Meta!$F$2:$F$400,"new_user_mult",Meta!$D$2:$D$400,F$3,Meta!$A$2:$A$400,"TOC")</f>
        <v/>
      </c>
      <c r="G37" s="26">
        <f>SUMIFS(Meta!$G$2:$G$400,Meta!$F$2:$F$400,"new_user_mult",Meta!$D$2:$D$400,G$3,Meta!$A$2:$A$400,"TOC")</f>
        <v/>
      </c>
    </row>
    <row r="38">
      <c r="A38" s="20" t="inlineStr">
        <is>
          <t>研发编制（人）</t>
        </is>
      </c>
      <c r="C38" s="22">
        <f>SUMIFS(Meta!$G$2:$G$400,Meta!$F$2:$F$400,"headcount_rd",Meta!$D$2:$D$400,C$3,Meta!$A$2:$A$400,"TOC")</f>
        <v/>
      </c>
      <c r="D38" s="22">
        <f>SUMIFS(Meta!$G$2:$G$400,Meta!$F$2:$F$400,"headcount_rd",Meta!$D$2:$D$400,D$3,Meta!$A$2:$A$400,"TOC")</f>
        <v/>
      </c>
      <c r="E38" s="22">
        <f>SUMIFS(Meta!$G$2:$G$400,Meta!$F$2:$F$400,"headcount_rd",Meta!$D$2:$D$400,E$3,Meta!$A$2:$A$400,"TOC")</f>
        <v/>
      </c>
      <c r="F38" s="22">
        <f>SUMIFS(Meta!$G$2:$G$400,Meta!$F$2:$F$400,"headcount_rd",Meta!$D$2:$D$400,F$3,Meta!$A$2:$A$400,"TOC")</f>
        <v/>
      </c>
      <c r="G38" s="22">
        <f>SUMIFS(Meta!$G$2:$G$400,Meta!$F$2:$F$400,"headcount_rd",Meta!$D$2:$D$400,G$3,Meta!$A$2:$A$400,"TOC")</f>
        <v/>
      </c>
    </row>
    <row r="39">
      <c r="A39" s="20" t="inlineStr">
        <is>
          <t>固定销售编制（人）</t>
        </is>
      </c>
      <c r="C39" s="22">
        <f>SUMIFS(Meta!$G$2:$G$400,Meta!$F$2:$F$400,"headcount_sales",Meta!$D$2:$D$400,C$3,Meta!$A$2:$A$400,"TOC")</f>
        <v/>
      </c>
      <c r="D39" s="22">
        <f>SUMIFS(Meta!$G$2:$G$400,Meta!$F$2:$F$400,"headcount_sales",Meta!$D$2:$D$400,D$3,Meta!$A$2:$A$400,"TOC")</f>
        <v/>
      </c>
      <c r="E39" s="22">
        <f>SUMIFS(Meta!$G$2:$G$400,Meta!$F$2:$F$400,"headcount_sales",Meta!$D$2:$D$400,E$3,Meta!$A$2:$A$400,"TOC")</f>
        <v/>
      </c>
      <c r="F39" s="22">
        <f>SUMIFS(Meta!$G$2:$G$400,Meta!$F$2:$F$400,"headcount_sales",Meta!$D$2:$D$400,F$3,Meta!$A$2:$A$400,"TOC")</f>
        <v/>
      </c>
      <c r="G39" s="22">
        <f>SUMIFS(Meta!$G$2:$G$400,Meta!$F$2:$F$400,"headcount_sales",Meta!$D$2:$D$400,G$3,Meta!$A$2:$A$400,"TOC")</f>
        <v/>
      </c>
    </row>
    <row r="40">
      <c r="A40" s="20" t="inlineStr">
        <is>
          <t>管理编制（人）</t>
        </is>
      </c>
      <c r="C40" s="22">
        <f>SUMIFS(Meta!$G$2:$G$400,Meta!$F$2:$F$400,"headcount_gna",Meta!$D$2:$D$400,C$3,Meta!$A$2:$A$400,"TOC")</f>
        <v/>
      </c>
      <c r="D40" s="22">
        <f>SUMIFS(Meta!$G$2:$G$400,Meta!$F$2:$F$400,"headcount_gna",Meta!$D$2:$D$400,D$3,Meta!$A$2:$A$400,"TOC")</f>
        <v/>
      </c>
      <c r="E40" s="22">
        <f>SUMIFS(Meta!$G$2:$G$400,Meta!$F$2:$F$400,"headcount_gna",Meta!$D$2:$D$400,E$3,Meta!$A$2:$A$400,"TOC")</f>
        <v/>
      </c>
      <c r="F40" s="22">
        <f>SUMIFS(Meta!$G$2:$G$400,Meta!$F$2:$F$400,"headcount_gna",Meta!$D$2:$D$400,F$3,Meta!$A$2:$A$400,"TOC")</f>
        <v/>
      </c>
      <c r="G40" s="22">
        <f>SUMIFS(Meta!$G$2:$G$400,Meta!$F$2:$F$400,"headcount_gna",Meta!$D$2:$D$400,G$3,Meta!$A$2:$A$400,"TOC")</f>
        <v/>
      </c>
    </row>
    <row r="41">
      <c r="A41" s="18" t="inlineStr">
        <is>
          <t>── 智擎研究院 ──</t>
        </is>
      </c>
      <c r="B41" s="19" t="n"/>
      <c r="C41" s="19" t="n"/>
      <c r="D41" s="19" t="n"/>
      <c r="E41" s="19" t="n"/>
      <c r="F41" s="19" t="n"/>
      <c r="G41" s="19" t="n"/>
    </row>
    <row r="42">
      <c r="A42" s="20" t="inlineStr">
        <is>
          <t>研发编制（人）</t>
        </is>
      </c>
      <c r="B42" s="2" t="inlineStr">
        <is>
          <t>基座模型研发</t>
        </is>
      </c>
      <c r="C42" s="22">
        <f>SUMIFS(Meta!$G$2:$G$400,Meta!$F$2:$F$400,"headcount_rd",Meta!$D$2:$D$400,C$3,Meta!$A$2:$A$400,"HOLD")</f>
        <v/>
      </c>
      <c r="D42" s="22">
        <f>SUMIFS(Meta!$G$2:$G$400,Meta!$F$2:$F$400,"headcount_rd",Meta!$D$2:$D$400,D$3,Meta!$A$2:$A$400,"HOLD")</f>
        <v/>
      </c>
      <c r="E42" s="22">
        <f>SUMIFS(Meta!$G$2:$G$400,Meta!$F$2:$F$400,"headcount_rd",Meta!$D$2:$D$400,E$3,Meta!$A$2:$A$400,"HOLD")</f>
        <v/>
      </c>
      <c r="F42" s="22">
        <f>SUMIFS(Meta!$G$2:$G$400,Meta!$F$2:$F$400,"headcount_rd",Meta!$D$2:$D$400,F$3,Meta!$A$2:$A$400,"HOLD")</f>
        <v/>
      </c>
      <c r="G42" s="22">
        <f>SUMIFS(Meta!$G$2:$G$400,Meta!$F$2:$F$400,"headcount_rd",Meta!$D$2:$D$400,G$3,Meta!$A$2:$A$400,"HOLD")</f>
        <v/>
      </c>
    </row>
    <row r="43">
      <c r="A43" s="20" t="inlineStr">
        <is>
          <t>人均全成本（万/年）</t>
        </is>
      </c>
      <c r="C43" s="25">
        <f>SUMIFS(Meta!$G$2:$G$400,Meta!$F$2:$F$400,"hold_salary",Meta!$D$2:$D$400,C$3,Meta!$A$2:$A$400,"HOLD")</f>
        <v/>
      </c>
      <c r="D43" s="25">
        <f>SUMIFS(Meta!$G$2:$G$400,Meta!$F$2:$F$400,"hold_salary",Meta!$D$2:$D$400,D$3,Meta!$A$2:$A$400,"HOLD")</f>
        <v/>
      </c>
      <c r="E43" s="25">
        <f>SUMIFS(Meta!$G$2:$G$400,Meta!$F$2:$F$400,"hold_salary",Meta!$D$2:$D$400,E$3,Meta!$A$2:$A$400,"HOLD")</f>
        <v/>
      </c>
      <c r="F43" s="25">
        <f>SUMIFS(Meta!$G$2:$G$400,Meta!$F$2:$F$400,"hold_salary",Meta!$D$2:$D$400,F$3,Meta!$A$2:$A$400,"HOLD")</f>
        <v/>
      </c>
      <c r="G43" s="25">
        <f>SUMIFS(Meta!$G$2:$G$400,Meta!$F$2:$F$400,"hold_salary",Meta!$D$2:$D$400,G$3,Meta!$A$2:$A$400,"HOLD")</f>
        <v/>
      </c>
    </row>
    <row r="44">
      <c r="A44" s="20" t="inlineStr">
        <is>
          <t>其他研发费用（数据/外包）</t>
        </is>
      </c>
      <c r="C44" s="24">
        <f>SUMIFS(Meta!$G$2:$G$400,Meta!$F$2:$F$400,"other_rd",Meta!$D$2:$D$400,C$3,Meta!$A$2:$A$400,"HOLD")</f>
        <v/>
      </c>
      <c r="D44" s="24">
        <f>SUMIFS(Meta!$G$2:$G$400,Meta!$F$2:$F$400,"other_rd",Meta!$D$2:$D$400,D$3,Meta!$A$2:$A$400,"HOLD")</f>
        <v/>
      </c>
      <c r="E44" s="24">
        <f>SUMIFS(Meta!$G$2:$G$400,Meta!$F$2:$F$400,"other_rd",Meta!$D$2:$D$400,E$3,Meta!$A$2:$A$400,"HOLD")</f>
        <v/>
      </c>
      <c r="F44" s="24">
        <f>SUMIFS(Meta!$G$2:$G$400,Meta!$F$2:$F$400,"other_rd",Meta!$D$2:$D$400,F$3,Meta!$A$2:$A$400,"HOLD")</f>
        <v/>
      </c>
      <c r="G44" s="24">
        <f>SUMIFS(Meta!$G$2:$G$400,Meta!$F$2:$F$400,"other_rd",Meta!$D$2:$D$400,G$3,Meta!$A$2:$A$400,"HOLD")</f>
        <v/>
      </c>
    </row>
    <row r="45">
      <c r="A45" s="20" t="inlineStr">
        <is>
          <t>管理编制（人）</t>
        </is>
      </c>
      <c r="C45" s="22">
        <f>SUMIFS(Meta!$G$2:$G$400,Meta!$F$2:$F$400,"headcount_gna",Meta!$D$2:$D$400,C$3,Meta!$A$2:$A$400,"HOLD")</f>
        <v/>
      </c>
      <c r="D45" s="22">
        <f>SUMIFS(Meta!$G$2:$G$400,Meta!$F$2:$F$400,"headcount_gna",Meta!$D$2:$D$400,D$3,Meta!$A$2:$A$400,"HOLD")</f>
        <v/>
      </c>
      <c r="E45" s="22">
        <f>SUMIFS(Meta!$G$2:$G$400,Meta!$F$2:$F$400,"headcount_gna",Meta!$D$2:$D$400,E$3,Meta!$A$2:$A$400,"HOLD")</f>
        <v/>
      </c>
      <c r="F45" s="22">
        <f>SUMIFS(Meta!$G$2:$G$400,Meta!$F$2:$F$400,"headcount_gna",Meta!$D$2:$D$400,F$3,Meta!$A$2:$A$400,"HOLD")</f>
        <v/>
      </c>
      <c r="G45" s="22">
        <f>SUMIFS(Meta!$G$2:$G$400,Meta!$F$2:$F$400,"headcount_gna",Meta!$D$2:$D$400,G$3,Meta!$A$2:$A$400,"HOLD")</f>
        <v/>
      </c>
    </row>
    <row r="46">
      <c r="A46" s="20" t="inlineStr">
        <is>
          <t>管理人均全成本（万/年）</t>
        </is>
      </c>
      <c r="C46" s="25">
        <f>SUMIFS(Meta!$G$2:$G$400,Meta!$F$2:$F$400,"salary_gna",Meta!$D$2:$D$400,C$3,Meta!$A$2:$A$400,"HOLD")</f>
        <v/>
      </c>
      <c r="D46" s="25">
        <f>SUMIFS(Meta!$G$2:$G$400,Meta!$F$2:$F$400,"salary_gna",Meta!$D$2:$D$400,D$3,Meta!$A$2:$A$400,"HOLD")</f>
        <v/>
      </c>
      <c r="E46" s="25">
        <f>SUMIFS(Meta!$G$2:$G$400,Meta!$F$2:$F$400,"salary_gna",Meta!$D$2:$D$400,E$3,Meta!$A$2:$A$400,"HOLD")</f>
        <v/>
      </c>
      <c r="F46" s="25">
        <f>SUMIFS(Meta!$G$2:$G$400,Meta!$F$2:$F$400,"salary_gna",Meta!$D$2:$D$400,F$3,Meta!$A$2:$A$400,"HOLD")</f>
        <v/>
      </c>
      <c r="G46" s="25">
        <f>SUMIFS(Meta!$G$2:$G$400,Meta!$F$2:$F$400,"salary_gna",Meta!$D$2:$D$400,G$3,Meta!$A$2:$A$400,"HOLD")</f>
        <v/>
      </c>
    </row>
    <row r="47">
      <c r="A47" s="18" t="inlineStr">
        <is>
          <t>── 关联交易定价 ──</t>
        </is>
      </c>
      <c r="B47" s="19" t="n"/>
      <c r="C47" s="19" t="n"/>
      <c r="D47" s="19" t="n"/>
      <c r="E47" s="19" t="n"/>
      <c r="F47" s="19" t="n"/>
      <c r="G47" s="19" t="n"/>
    </row>
    <row r="48">
      <c r="A48" s="20" t="inlineStr">
        <is>
          <t>T1 license 费率 · 智擎云</t>
        </is>
      </c>
      <c r="B48" s="2" t="inlineStr">
        <is>
          <t>收入×费率</t>
        </is>
      </c>
      <c r="C48" s="21">
        <f>SUMIFS(Meta!$G$2:$G$400,Meta!$F$2:$F$400,"t1_rate",Meta!$D$2:$D$400,C$3,Meta!$A$2:$A$400,"CLOUD")</f>
        <v/>
      </c>
      <c r="D48" s="21">
        <f>SUMIFS(Meta!$G$2:$G$400,Meta!$F$2:$F$400,"t1_rate",Meta!$D$2:$D$400,D$3,Meta!$A$2:$A$400,"CLOUD")</f>
        <v/>
      </c>
      <c r="E48" s="21">
        <f>SUMIFS(Meta!$G$2:$G$400,Meta!$F$2:$F$400,"t1_rate",Meta!$D$2:$D$400,E$3,Meta!$A$2:$A$400,"CLOUD")</f>
        <v/>
      </c>
      <c r="F48" s="21">
        <f>SUMIFS(Meta!$G$2:$G$400,Meta!$F$2:$F$400,"t1_rate",Meta!$D$2:$D$400,F$3,Meta!$A$2:$A$400,"CLOUD")</f>
        <v/>
      </c>
      <c r="G48" s="21">
        <f>SUMIFS(Meta!$G$2:$G$400,Meta!$F$2:$F$400,"t1_rate",Meta!$D$2:$D$400,G$3,Meta!$A$2:$A$400,"CLOUD")</f>
        <v/>
      </c>
    </row>
    <row r="49">
      <c r="A49" s="20" t="inlineStr">
        <is>
          <t>T1 license 费率 · 智擎行业</t>
        </is>
      </c>
      <c r="B49" s="2" t="inlineStr">
        <is>
          <t>收入×费率</t>
        </is>
      </c>
      <c r="C49" s="21">
        <f>SUMIFS(Meta!$G$2:$G$400,Meta!$F$2:$F$400,"t1_rate",Meta!$D$2:$D$400,C$3,Meta!$A$2:$A$400,"IND")</f>
        <v/>
      </c>
      <c r="D49" s="21">
        <f>SUMIFS(Meta!$G$2:$G$400,Meta!$F$2:$F$400,"t1_rate",Meta!$D$2:$D$400,D$3,Meta!$A$2:$A$400,"IND")</f>
        <v/>
      </c>
      <c r="E49" s="21">
        <f>SUMIFS(Meta!$G$2:$G$400,Meta!$F$2:$F$400,"t1_rate",Meta!$D$2:$D$400,E$3,Meta!$A$2:$A$400,"IND")</f>
        <v/>
      </c>
      <c r="F49" s="21">
        <f>SUMIFS(Meta!$G$2:$G$400,Meta!$F$2:$F$400,"t1_rate",Meta!$D$2:$D$400,F$3,Meta!$A$2:$A$400,"IND")</f>
        <v/>
      </c>
      <c r="G49" s="21">
        <f>SUMIFS(Meta!$G$2:$G$400,Meta!$F$2:$F$400,"t1_rate",Meta!$D$2:$D$400,G$3,Meta!$A$2:$A$400,"IND")</f>
        <v/>
      </c>
    </row>
    <row r="50">
      <c r="A50" s="20" t="inlineStr">
        <is>
          <t>T1 license 费率 · 智擎互联</t>
        </is>
      </c>
      <c r="B50" s="2" t="inlineStr">
        <is>
          <t>收入×费率</t>
        </is>
      </c>
      <c r="C50" s="21">
        <f>SUMIFS(Meta!$G$2:$G$400,Meta!$F$2:$F$400,"t1_rate",Meta!$D$2:$D$400,C$3,Meta!$A$2:$A$400,"TOC")</f>
        <v/>
      </c>
      <c r="D50" s="21">
        <f>SUMIFS(Meta!$G$2:$G$400,Meta!$F$2:$F$400,"t1_rate",Meta!$D$2:$D$400,D$3,Meta!$A$2:$A$400,"TOC")</f>
        <v/>
      </c>
      <c r="E50" s="21">
        <f>SUMIFS(Meta!$G$2:$G$400,Meta!$F$2:$F$400,"t1_rate",Meta!$D$2:$D$400,E$3,Meta!$A$2:$A$400,"TOC")</f>
        <v/>
      </c>
      <c r="F50" s="21">
        <f>SUMIFS(Meta!$G$2:$G$400,Meta!$F$2:$F$400,"t1_rate",Meta!$D$2:$D$400,F$3,Meta!$A$2:$A$400,"TOC")</f>
        <v/>
      </c>
      <c r="G50" s="21">
        <f>SUMIFS(Meta!$G$2:$G$400,Meta!$F$2:$F$400,"t1_rate",Meta!$D$2:$D$400,G$3,Meta!$A$2:$A$400,"TOC")</f>
        <v/>
      </c>
    </row>
    <row r="51">
      <c r="A51" s="20" t="inlineStr">
        <is>
          <t>T2 定制研发服务费（行业→研究院）</t>
        </is>
      </c>
      <c r="C51" s="24">
        <f>SUMIFS(Meta!$G$2:$G$400,Meta!$F$2:$F$400,"t2_fee",Meta!$D$2:$D$400,C$3,Meta!$A$2:$A$400,"HOLD")</f>
        <v/>
      </c>
      <c r="D51" s="24">
        <f>SUMIFS(Meta!$G$2:$G$400,Meta!$F$2:$F$400,"t2_fee",Meta!$D$2:$D$400,D$3,Meta!$A$2:$A$400,"HOLD")</f>
        <v/>
      </c>
      <c r="E51" s="24">
        <f>SUMIFS(Meta!$G$2:$G$400,Meta!$F$2:$F$400,"t2_fee",Meta!$D$2:$D$400,E$3,Meta!$A$2:$A$400,"HOLD")</f>
        <v/>
      </c>
      <c r="F51" s="24">
        <f>SUMIFS(Meta!$G$2:$G$400,Meta!$F$2:$F$400,"t2_fee",Meta!$D$2:$D$400,F$3,Meta!$A$2:$A$400,"HOLD")</f>
        <v/>
      </c>
      <c r="G51" s="24">
        <f>SUMIFS(Meta!$G$2:$G$400,Meta!$F$2:$F$400,"t2_fee",Meta!$D$2:$D$400,G$3,Meta!$A$2:$A$400,"HOLD")</f>
        <v/>
      </c>
    </row>
    <row r="52">
      <c r="A52" s="20" t="inlineStr">
        <is>
          <t>T3 互联算力结算占其推理成本</t>
        </is>
      </c>
      <c r="C52" s="21">
        <f>SUMIFS(Meta!$G$2:$G$400,Meta!$F$2:$F$400,"t3_share",Meta!$D$2:$D$400,C$3,Meta!$A$2:$A$400,"GROUP")</f>
        <v/>
      </c>
      <c r="D52" s="21">
        <f>SUMIFS(Meta!$G$2:$G$400,Meta!$F$2:$F$400,"t3_share",Meta!$D$2:$D$400,D$3,Meta!$A$2:$A$400,"GROUP")</f>
        <v/>
      </c>
      <c r="E52" s="21">
        <f>SUMIFS(Meta!$G$2:$G$400,Meta!$F$2:$F$400,"t3_share",Meta!$D$2:$D$400,E$3,Meta!$A$2:$A$400,"GROUP")</f>
        <v/>
      </c>
      <c r="F52" s="21">
        <f>SUMIFS(Meta!$G$2:$G$400,Meta!$F$2:$F$400,"t3_share",Meta!$D$2:$D$400,F$3,Meta!$A$2:$A$400,"GROUP")</f>
        <v/>
      </c>
      <c r="G52" s="21">
        <f>SUMIFS(Meta!$G$2:$G$400,Meta!$F$2:$F$400,"t3_share",Meta!$D$2:$D$400,G$3,Meta!$A$2:$A$400,"GROUP")</f>
        <v/>
      </c>
    </row>
    <row r="53">
      <c r="A53" s="20" t="inlineStr">
        <is>
          <t>T3 云内部毛利率</t>
        </is>
      </c>
      <c r="B53" s="2" t="inlineStr">
        <is>
          <t>内部利润随互联对外收入实现</t>
        </is>
      </c>
      <c r="C53" s="21">
        <f>SUMIFS(Meta!$G$2:$G$400,Meta!$F$2:$F$400,"t3_gm",Meta!$D$2:$D$400,C$3,Meta!$A$2:$A$400,"GROUP")</f>
        <v/>
      </c>
      <c r="D53" s="21">
        <f>SUMIFS(Meta!$G$2:$G$400,Meta!$F$2:$F$400,"t3_gm",Meta!$D$2:$D$400,D$3,Meta!$A$2:$A$400,"GROUP")</f>
        <v/>
      </c>
      <c r="E53" s="21">
        <f>SUMIFS(Meta!$G$2:$G$400,Meta!$F$2:$F$400,"t3_gm",Meta!$D$2:$D$400,E$3,Meta!$A$2:$A$400,"GROUP")</f>
        <v/>
      </c>
      <c r="F53" s="21">
        <f>SUMIFS(Meta!$G$2:$G$400,Meta!$F$2:$F$400,"t3_gm",Meta!$D$2:$D$400,F$3,Meta!$A$2:$A$400,"GROUP")</f>
        <v/>
      </c>
      <c r="G53" s="21">
        <f>SUMIFS(Meta!$G$2:$G$400,Meta!$F$2:$F$400,"t3_gm",Meta!$D$2:$D$400,G$3,Meta!$A$2:$A$400,"GROUP")</f>
        <v/>
      </c>
    </row>
    <row r="54">
      <c r="A54" s="20" t="inlineStr">
        <is>
          <t>cut-off 在途（互联已确认/云未开票）</t>
        </is>
      </c>
      <c r="B54" s="2" t="inlineStr">
        <is>
          <t>仅2027年末演示</t>
        </is>
      </c>
      <c r="C54" s="22">
        <f>SUMIFS(Meta!$G$2:$G$400,Meta!$F$2:$F$400,"cutoff_2027",Meta!$D$2:$D$400,C$3,Meta!$A$2:$A$400,"GROUP")</f>
        <v/>
      </c>
      <c r="D54" s="22">
        <f>SUMIFS(Meta!$G$2:$G$400,Meta!$F$2:$F$400,"cutoff_2027",Meta!$D$2:$D$400,D$3,Meta!$A$2:$A$400,"GROUP")</f>
        <v/>
      </c>
      <c r="E54" s="22">
        <f>SUMIFS(Meta!$G$2:$G$400,Meta!$F$2:$F$400,"cutoff_2027",Meta!$D$2:$D$400,E$3,Meta!$A$2:$A$400,"GROUP")</f>
        <v/>
      </c>
      <c r="F54" s="22">
        <f>SUMIFS(Meta!$G$2:$G$400,Meta!$F$2:$F$400,"cutoff_2027",Meta!$D$2:$D$400,F$3,Meta!$A$2:$A$400,"GROUP")</f>
        <v/>
      </c>
      <c r="G54" s="22">
        <f>SUMIFS(Meta!$G$2:$G$400,Meta!$F$2:$F$400,"cutoff_2027",Meta!$D$2:$D$400,G$3,Meta!$A$2:$A$400,"GROUP")</f>
        <v/>
      </c>
    </row>
    <row r="55">
      <c r="A55" s="18" t="inlineStr">
        <is>
          <t>── 股权融资计划（当年新增注资）──</t>
        </is>
      </c>
      <c r="B55" s="19" t="n"/>
      <c r="C55" s="19" t="n"/>
      <c r="D55" s="19" t="n"/>
      <c r="E55" s="19" t="n"/>
      <c r="F55" s="19" t="n"/>
      <c r="G55" s="19" t="n"/>
    </row>
    <row r="56">
      <c r="A56" s="20" t="inlineStr">
        <is>
          <t>研究院（老股东直接增资）</t>
        </is>
      </c>
      <c r="C56" s="24">
        <f>SUMIFS(Meta!$G$2:$G$400,Meta!$F$2:$F$400,"equity_inject",Meta!$D$2:$D$400,C$3,Meta!$A$2:$A$400,"HOLD")</f>
        <v/>
      </c>
      <c r="D56" s="24">
        <f>SUMIFS(Meta!$G$2:$G$400,Meta!$F$2:$F$400,"equity_inject",Meta!$D$2:$D$400,D$3,Meta!$A$2:$A$400,"HOLD")</f>
        <v/>
      </c>
      <c r="E56" s="24">
        <f>SUMIFS(Meta!$G$2:$G$400,Meta!$F$2:$F$400,"equity_inject",Meta!$D$2:$D$400,E$3,Meta!$A$2:$A$400,"HOLD")</f>
        <v/>
      </c>
      <c r="F56" s="24">
        <f>SUMIFS(Meta!$G$2:$G$400,Meta!$F$2:$F$400,"equity_inject",Meta!$D$2:$D$400,F$3,Meta!$A$2:$A$400,"HOLD")</f>
        <v/>
      </c>
      <c r="G56" s="24">
        <f>SUMIFS(Meta!$G$2:$G$400,Meta!$F$2:$F$400,"equity_inject",Meta!$D$2:$D$400,G$3,Meta!$A$2:$A$400,"HOLD")</f>
        <v/>
      </c>
    </row>
    <row r="57">
      <c r="A57" s="20" t="inlineStr">
        <is>
          <t>智擎云</t>
        </is>
      </c>
      <c r="C57" s="24">
        <f>SUMIFS(Meta!$G$2:$G$400,Meta!$F$2:$F$400,"equity_inject",Meta!$D$2:$D$400,C$3,Meta!$A$2:$A$400,"CLOUD")</f>
        <v/>
      </c>
      <c r="D57" s="24">
        <f>SUMIFS(Meta!$G$2:$G$400,Meta!$F$2:$F$400,"equity_inject",Meta!$D$2:$D$400,D$3,Meta!$A$2:$A$400,"CLOUD")</f>
        <v/>
      </c>
      <c r="E57" s="24">
        <f>SUMIFS(Meta!$G$2:$G$400,Meta!$F$2:$F$400,"equity_inject",Meta!$D$2:$D$400,E$3,Meta!$A$2:$A$400,"CLOUD")</f>
        <v/>
      </c>
      <c r="F57" s="24">
        <f>SUMIFS(Meta!$G$2:$G$400,Meta!$F$2:$F$400,"equity_inject",Meta!$D$2:$D$400,F$3,Meta!$A$2:$A$400,"CLOUD")</f>
        <v/>
      </c>
      <c r="G57" s="24">
        <f>SUMIFS(Meta!$G$2:$G$400,Meta!$F$2:$F$400,"equity_inject",Meta!$D$2:$D$400,G$3,Meta!$A$2:$A$400,"CLOUD")</f>
        <v/>
      </c>
    </row>
    <row r="58">
      <c r="A58" s="20" t="inlineStr">
        <is>
          <t>智擎行业</t>
        </is>
      </c>
      <c r="C58" s="24">
        <f>SUMIFS(Meta!$G$2:$G$400,Meta!$F$2:$F$400,"equity_inject",Meta!$D$2:$D$400,C$3,Meta!$A$2:$A$400,"IND")</f>
        <v/>
      </c>
      <c r="D58" s="24">
        <f>SUMIFS(Meta!$G$2:$G$400,Meta!$F$2:$F$400,"equity_inject",Meta!$D$2:$D$400,D$3,Meta!$A$2:$A$400,"IND")</f>
        <v/>
      </c>
      <c r="E58" s="24">
        <f>SUMIFS(Meta!$G$2:$G$400,Meta!$F$2:$F$400,"equity_inject",Meta!$D$2:$D$400,E$3,Meta!$A$2:$A$400,"IND")</f>
        <v/>
      </c>
      <c r="F58" s="24">
        <f>SUMIFS(Meta!$G$2:$G$400,Meta!$F$2:$F$400,"equity_inject",Meta!$D$2:$D$400,F$3,Meta!$A$2:$A$400,"IND")</f>
        <v/>
      </c>
      <c r="G58" s="24">
        <f>SUMIFS(Meta!$G$2:$G$400,Meta!$F$2:$F$400,"equity_inject",Meta!$D$2:$D$400,G$3,Meta!$A$2:$A$400,"IND")</f>
        <v/>
      </c>
    </row>
    <row r="59">
      <c r="A59" s="20" t="inlineStr">
        <is>
          <t>智擎互联（含战投20%）</t>
        </is>
      </c>
      <c r="C59" s="24">
        <f>SUMIFS(Meta!$G$2:$G$400,Meta!$F$2:$F$400,"equity_inject",Meta!$D$2:$D$400,C$3,Meta!$A$2:$A$400,"TOC")</f>
        <v/>
      </c>
      <c r="D59" s="24">
        <f>SUMIFS(Meta!$G$2:$G$400,Meta!$F$2:$F$400,"equity_inject",Meta!$D$2:$D$400,D$3,Meta!$A$2:$A$400,"TOC")</f>
        <v/>
      </c>
      <c r="E59" s="24">
        <f>SUMIFS(Meta!$G$2:$G$400,Meta!$F$2:$F$400,"equity_inject",Meta!$D$2:$D$400,E$3,Meta!$A$2:$A$400,"TOC")</f>
        <v/>
      </c>
      <c r="F59" s="24">
        <f>SUMIFS(Meta!$G$2:$G$400,Meta!$F$2:$F$400,"equity_inject",Meta!$D$2:$D$400,F$3,Meta!$A$2:$A$400,"TOC")</f>
        <v/>
      </c>
      <c r="G59" s="24">
        <f>SUMIFS(Meta!$G$2:$G$400,Meta!$F$2:$F$400,"equity_inject",Meta!$D$2:$D$400,G$3,Meta!$A$2:$A$400,"TOC")</f>
        <v/>
      </c>
    </row>
    <row r="60">
      <c r="A60" s="18" t="inlineStr">
        <is>
          <t>── 收入地区拆分 ──</t>
        </is>
      </c>
      <c r="B60" s="19" t="n"/>
      <c r="C60" s="19" t="n"/>
      <c r="D60" s="19" t="n"/>
      <c r="E60" s="19" t="n"/>
      <c r="F60" s="19" t="n"/>
      <c r="G60" s="19" t="n"/>
    </row>
    <row r="61">
      <c r="A61" s="20" t="inlineStr">
        <is>
          <t>华东 占比</t>
        </is>
      </c>
      <c r="C61" s="21">
        <f>SUMIFS(Meta!$G$2:$G$400,Meta!$F$2:$F$400,"region_mix",Meta!$D$2:$D$400,C$3,Meta!$A$2:$A$400,"GROUP",Meta!$C$2:$C$400,"华东")</f>
        <v/>
      </c>
      <c r="D61" s="21">
        <f>SUMIFS(Meta!$G$2:$G$400,Meta!$F$2:$F$400,"region_mix",Meta!$D$2:$D$400,D$3,Meta!$A$2:$A$400,"GROUP",Meta!$C$2:$C$400,"华东")</f>
        <v/>
      </c>
      <c r="E61" s="21">
        <f>SUMIFS(Meta!$G$2:$G$400,Meta!$F$2:$F$400,"region_mix",Meta!$D$2:$D$400,E$3,Meta!$A$2:$A$400,"GROUP",Meta!$C$2:$C$400,"华东")</f>
        <v/>
      </c>
      <c r="F61" s="21">
        <f>SUMIFS(Meta!$G$2:$G$400,Meta!$F$2:$F$400,"region_mix",Meta!$D$2:$D$400,F$3,Meta!$A$2:$A$400,"GROUP",Meta!$C$2:$C$400,"华东")</f>
        <v/>
      </c>
      <c r="G61" s="21">
        <f>SUMIFS(Meta!$G$2:$G$400,Meta!$F$2:$F$400,"region_mix",Meta!$D$2:$D$400,G$3,Meta!$A$2:$A$400,"GROUP",Meta!$C$2:$C$400,"华东")</f>
        <v/>
      </c>
    </row>
    <row r="62">
      <c r="A62" s="20" t="inlineStr">
        <is>
          <t>华北 占比</t>
        </is>
      </c>
      <c r="C62" s="21">
        <f>SUMIFS(Meta!$G$2:$G$400,Meta!$F$2:$F$400,"region_mix",Meta!$D$2:$D$400,C$3,Meta!$A$2:$A$400,"GROUP",Meta!$C$2:$C$400,"华北")</f>
        <v/>
      </c>
      <c r="D62" s="21">
        <f>SUMIFS(Meta!$G$2:$G$400,Meta!$F$2:$F$400,"region_mix",Meta!$D$2:$D$400,D$3,Meta!$A$2:$A$400,"GROUP",Meta!$C$2:$C$400,"华北")</f>
        <v/>
      </c>
      <c r="E62" s="21">
        <f>SUMIFS(Meta!$G$2:$G$400,Meta!$F$2:$F$400,"region_mix",Meta!$D$2:$D$400,E$3,Meta!$A$2:$A$400,"GROUP",Meta!$C$2:$C$400,"华北")</f>
        <v/>
      </c>
      <c r="F62" s="21">
        <f>SUMIFS(Meta!$G$2:$G$400,Meta!$F$2:$F$400,"region_mix",Meta!$D$2:$D$400,F$3,Meta!$A$2:$A$400,"GROUP",Meta!$C$2:$C$400,"华北")</f>
        <v/>
      </c>
      <c r="G62" s="21">
        <f>SUMIFS(Meta!$G$2:$G$400,Meta!$F$2:$F$400,"region_mix",Meta!$D$2:$D$400,G$3,Meta!$A$2:$A$400,"GROUP",Meta!$C$2:$C$400,"华北")</f>
        <v/>
      </c>
    </row>
    <row r="63">
      <c r="A63" s="20" t="inlineStr">
        <is>
          <t>华南 占比</t>
        </is>
      </c>
      <c r="C63" s="21">
        <f>SUMIFS(Meta!$G$2:$G$400,Meta!$F$2:$F$400,"region_mix",Meta!$D$2:$D$400,C$3,Meta!$A$2:$A$400,"GROUP",Meta!$C$2:$C$400,"华南")</f>
        <v/>
      </c>
      <c r="D63" s="21">
        <f>SUMIFS(Meta!$G$2:$G$400,Meta!$F$2:$F$400,"region_mix",Meta!$D$2:$D$400,D$3,Meta!$A$2:$A$400,"GROUP",Meta!$C$2:$C$400,"华南")</f>
        <v/>
      </c>
      <c r="E63" s="21">
        <f>SUMIFS(Meta!$G$2:$G$400,Meta!$F$2:$F$400,"region_mix",Meta!$D$2:$D$400,E$3,Meta!$A$2:$A$400,"GROUP",Meta!$C$2:$C$400,"华南")</f>
        <v/>
      </c>
      <c r="F63" s="21">
        <f>SUMIFS(Meta!$G$2:$G$400,Meta!$F$2:$F$400,"region_mix",Meta!$D$2:$D$400,F$3,Meta!$A$2:$A$400,"GROUP",Meta!$C$2:$C$400,"华南")</f>
        <v/>
      </c>
      <c r="G63" s="21">
        <f>SUMIFS(Meta!$G$2:$G$400,Meta!$F$2:$F$400,"region_mix",Meta!$D$2:$D$400,G$3,Meta!$A$2:$A$400,"GROUP",Meta!$C$2:$C$400,"华南")</f>
        <v/>
      </c>
    </row>
    <row r="64">
      <c r="A64" s="20" t="inlineStr">
        <is>
          <t>海外 占比</t>
        </is>
      </c>
      <c r="C64" s="21">
        <f>SUMIFS(Meta!$G$2:$G$400,Meta!$F$2:$F$400,"region_mix",Meta!$D$2:$D$400,C$3,Meta!$A$2:$A$400,"GROUP",Meta!$C$2:$C$400,"海外")</f>
        <v/>
      </c>
      <c r="D64" s="21">
        <f>SUMIFS(Meta!$G$2:$G$400,Meta!$F$2:$F$400,"region_mix",Meta!$D$2:$D$400,D$3,Meta!$A$2:$A$400,"GROUP",Meta!$C$2:$C$400,"海外")</f>
        <v/>
      </c>
      <c r="E64" s="21">
        <f>SUMIFS(Meta!$G$2:$G$400,Meta!$F$2:$F$400,"region_mix",Meta!$D$2:$D$400,E$3,Meta!$A$2:$A$400,"GROUP",Meta!$C$2:$C$400,"海外")</f>
        <v/>
      </c>
      <c r="F64" s="21">
        <f>SUMIFS(Meta!$G$2:$G$400,Meta!$F$2:$F$400,"region_mix",Meta!$D$2:$D$400,F$3,Meta!$A$2:$A$400,"GROUP",Meta!$C$2:$C$400,"海外")</f>
        <v/>
      </c>
      <c r="G64" s="21">
        <f>SUMIFS(Meta!$G$2:$G$400,Meta!$F$2:$F$400,"region_mix",Meta!$D$2:$D$400,G$3,Meta!$A$2:$A$400,"GROUP",Meta!$C$2:$C$400,"海外")</f>
        <v/>
      </c>
    </row>
    <row r="65">
      <c r="A65" s="18" t="inlineStr">
        <is>
          <t>── 期初数（2023年初）──</t>
        </is>
      </c>
      <c r="B65" s="19" t="n"/>
      <c r="C65" s="19" t="n"/>
      <c r="D65" s="19" t="n"/>
      <c r="E65" s="19" t="n"/>
      <c r="F65" s="19" t="n"/>
      <c r="G65" s="19" t="n"/>
    </row>
    <row r="66">
      <c r="A66" s="20" t="inlineStr">
        <is>
          <t>智擎研究院 期初未分配利润</t>
        </is>
      </c>
      <c r="C66" s="22">
        <f>SUMIFS(Meta!$G$2:$G$400,Meta!$F$2:$F$400,"open_re",Meta!$D$2:$D$400,C$3,Meta!$A$2:$A$400,"HOLD")</f>
        <v/>
      </c>
      <c r="D66" s="22">
        <f>SUMIFS(Meta!$G$2:$G$400,Meta!$F$2:$F$400,"open_re",Meta!$D$2:$D$400,D$3,Meta!$A$2:$A$400,"HOLD")</f>
        <v/>
      </c>
      <c r="E66" s="22">
        <f>SUMIFS(Meta!$G$2:$G$400,Meta!$F$2:$F$400,"open_re",Meta!$D$2:$D$400,E$3,Meta!$A$2:$A$400,"HOLD")</f>
        <v/>
      </c>
      <c r="F66" s="22">
        <f>SUMIFS(Meta!$G$2:$G$400,Meta!$F$2:$F$400,"open_re",Meta!$D$2:$D$400,F$3,Meta!$A$2:$A$400,"HOLD")</f>
        <v/>
      </c>
      <c r="G66" s="22">
        <f>SUMIFS(Meta!$G$2:$G$400,Meta!$F$2:$F$400,"open_re",Meta!$D$2:$D$400,G$3,Meta!$A$2:$A$400,"HOLD")</f>
        <v/>
      </c>
    </row>
    <row r="67">
      <c r="A67" s="20" t="inlineStr">
        <is>
          <t>智擎研究院 期初实收资本</t>
        </is>
      </c>
      <c r="C67" s="22">
        <f>SUMIFS(Meta!$G$2:$G$400,Meta!$F$2:$F$400,"open_pi",Meta!$D$2:$D$400,C$3,Meta!$A$2:$A$400,"HOLD")</f>
        <v/>
      </c>
      <c r="D67" s="22">
        <f>SUMIFS(Meta!$G$2:$G$400,Meta!$F$2:$F$400,"open_pi",Meta!$D$2:$D$400,D$3,Meta!$A$2:$A$400,"HOLD")</f>
        <v/>
      </c>
      <c r="E67" s="22">
        <f>SUMIFS(Meta!$G$2:$G$400,Meta!$F$2:$F$400,"open_pi",Meta!$D$2:$D$400,E$3,Meta!$A$2:$A$400,"HOLD")</f>
        <v/>
      </c>
      <c r="F67" s="22">
        <f>SUMIFS(Meta!$G$2:$G$400,Meta!$F$2:$F$400,"open_pi",Meta!$D$2:$D$400,F$3,Meta!$A$2:$A$400,"HOLD")</f>
        <v/>
      </c>
      <c r="G67" s="22">
        <f>SUMIFS(Meta!$G$2:$G$400,Meta!$F$2:$F$400,"open_pi",Meta!$D$2:$D$400,G$3,Meta!$A$2:$A$400,"HOLD")</f>
        <v/>
      </c>
    </row>
    <row r="68">
      <c r="A68" s="20" t="inlineStr">
        <is>
          <t>智擎云 期初未分配利润</t>
        </is>
      </c>
      <c r="C68" s="22">
        <f>SUMIFS(Meta!$G$2:$G$400,Meta!$F$2:$F$400,"open_re",Meta!$D$2:$D$400,C$3,Meta!$A$2:$A$400,"CLOUD")</f>
        <v/>
      </c>
      <c r="D68" s="22">
        <f>SUMIFS(Meta!$G$2:$G$400,Meta!$F$2:$F$400,"open_re",Meta!$D$2:$D$400,D$3,Meta!$A$2:$A$400,"CLOUD")</f>
        <v/>
      </c>
      <c r="E68" s="22">
        <f>SUMIFS(Meta!$G$2:$G$400,Meta!$F$2:$F$400,"open_re",Meta!$D$2:$D$400,E$3,Meta!$A$2:$A$400,"CLOUD")</f>
        <v/>
      </c>
      <c r="F68" s="22">
        <f>SUMIFS(Meta!$G$2:$G$400,Meta!$F$2:$F$400,"open_re",Meta!$D$2:$D$400,F$3,Meta!$A$2:$A$400,"CLOUD")</f>
        <v/>
      </c>
      <c r="G68" s="22">
        <f>SUMIFS(Meta!$G$2:$G$400,Meta!$F$2:$F$400,"open_re",Meta!$D$2:$D$400,G$3,Meta!$A$2:$A$400,"CLOUD")</f>
        <v/>
      </c>
    </row>
    <row r="69">
      <c r="A69" s="20" t="inlineStr">
        <is>
          <t>智擎云 期初实收资本</t>
        </is>
      </c>
      <c r="C69" s="22">
        <f>SUMIFS(Meta!$G$2:$G$400,Meta!$F$2:$F$400,"open_pi",Meta!$D$2:$D$400,C$3,Meta!$A$2:$A$400,"CLOUD")</f>
        <v/>
      </c>
      <c r="D69" s="22">
        <f>SUMIFS(Meta!$G$2:$G$400,Meta!$F$2:$F$400,"open_pi",Meta!$D$2:$D$400,D$3,Meta!$A$2:$A$400,"CLOUD")</f>
        <v/>
      </c>
      <c r="E69" s="22">
        <f>SUMIFS(Meta!$G$2:$G$400,Meta!$F$2:$F$400,"open_pi",Meta!$D$2:$D$400,E$3,Meta!$A$2:$A$400,"CLOUD")</f>
        <v/>
      </c>
      <c r="F69" s="22">
        <f>SUMIFS(Meta!$G$2:$G$400,Meta!$F$2:$F$400,"open_pi",Meta!$D$2:$D$400,F$3,Meta!$A$2:$A$400,"CLOUD")</f>
        <v/>
      </c>
      <c r="G69" s="22">
        <f>SUMIFS(Meta!$G$2:$G$400,Meta!$F$2:$F$400,"open_pi",Meta!$D$2:$D$400,G$3,Meta!$A$2:$A$400,"CLOUD")</f>
        <v/>
      </c>
    </row>
    <row r="70">
      <c r="A70" s="20" t="inlineStr">
        <is>
          <t>智擎行业 期初未分配利润</t>
        </is>
      </c>
      <c r="C70" s="22">
        <f>SUMIFS(Meta!$G$2:$G$400,Meta!$F$2:$F$400,"open_re",Meta!$D$2:$D$400,C$3,Meta!$A$2:$A$400,"IND")</f>
        <v/>
      </c>
      <c r="D70" s="22">
        <f>SUMIFS(Meta!$G$2:$G$400,Meta!$F$2:$F$400,"open_re",Meta!$D$2:$D$400,D$3,Meta!$A$2:$A$400,"IND")</f>
        <v/>
      </c>
      <c r="E70" s="22">
        <f>SUMIFS(Meta!$G$2:$G$400,Meta!$F$2:$F$400,"open_re",Meta!$D$2:$D$400,E$3,Meta!$A$2:$A$400,"IND")</f>
        <v/>
      </c>
      <c r="F70" s="22">
        <f>SUMIFS(Meta!$G$2:$G$400,Meta!$F$2:$F$400,"open_re",Meta!$D$2:$D$400,F$3,Meta!$A$2:$A$400,"IND")</f>
        <v/>
      </c>
      <c r="G70" s="22">
        <f>SUMIFS(Meta!$G$2:$G$400,Meta!$F$2:$F$400,"open_re",Meta!$D$2:$D$400,G$3,Meta!$A$2:$A$400,"IND")</f>
        <v/>
      </c>
    </row>
    <row r="71">
      <c r="A71" s="20" t="inlineStr">
        <is>
          <t>智擎行业 期初实收资本</t>
        </is>
      </c>
      <c r="C71" s="22">
        <f>SUMIFS(Meta!$G$2:$G$400,Meta!$F$2:$F$400,"open_pi",Meta!$D$2:$D$400,C$3,Meta!$A$2:$A$400,"IND")</f>
        <v/>
      </c>
      <c r="D71" s="22">
        <f>SUMIFS(Meta!$G$2:$G$400,Meta!$F$2:$F$400,"open_pi",Meta!$D$2:$D$400,D$3,Meta!$A$2:$A$400,"IND")</f>
        <v/>
      </c>
      <c r="E71" s="22">
        <f>SUMIFS(Meta!$G$2:$G$400,Meta!$F$2:$F$400,"open_pi",Meta!$D$2:$D$400,E$3,Meta!$A$2:$A$400,"IND")</f>
        <v/>
      </c>
      <c r="F71" s="22">
        <f>SUMIFS(Meta!$G$2:$G$400,Meta!$F$2:$F$400,"open_pi",Meta!$D$2:$D$400,F$3,Meta!$A$2:$A$400,"IND")</f>
        <v/>
      </c>
      <c r="G71" s="22">
        <f>SUMIFS(Meta!$G$2:$G$400,Meta!$F$2:$F$400,"open_pi",Meta!$D$2:$D$400,G$3,Meta!$A$2:$A$400,"IND")</f>
        <v/>
      </c>
    </row>
    <row r="72">
      <c r="A72" s="20" t="inlineStr">
        <is>
          <t>智擎互联 期初未分配利润</t>
        </is>
      </c>
      <c r="C72" s="22">
        <f>SUMIFS(Meta!$G$2:$G$400,Meta!$F$2:$F$400,"open_re",Meta!$D$2:$D$400,C$3,Meta!$A$2:$A$400,"TOC")</f>
        <v/>
      </c>
      <c r="D72" s="22">
        <f>SUMIFS(Meta!$G$2:$G$400,Meta!$F$2:$F$400,"open_re",Meta!$D$2:$D$400,D$3,Meta!$A$2:$A$400,"TOC")</f>
        <v/>
      </c>
      <c r="E72" s="22">
        <f>SUMIFS(Meta!$G$2:$G$400,Meta!$F$2:$F$400,"open_re",Meta!$D$2:$D$400,E$3,Meta!$A$2:$A$400,"TOC")</f>
        <v/>
      </c>
      <c r="F72" s="22">
        <f>SUMIFS(Meta!$G$2:$G$400,Meta!$F$2:$F$400,"open_re",Meta!$D$2:$D$400,F$3,Meta!$A$2:$A$400,"TOC")</f>
        <v/>
      </c>
      <c r="G72" s="22">
        <f>SUMIFS(Meta!$G$2:$G$400,Meta!$F$2:$F$400,"open_re",Meta!$D$2:$D$400,G$3,Meta!$A$2:$A$400,"TOC")</f>
        <v/>
      </c>
    </row>
    <row r="73">
      <c r="A73" s="20" t="inlineStr">
        <is>
          <t>智擎互联 期初实收资本</t>
        </is>
      </c>
      <c r="C73" s="22">
        <f>SUMIFS(Meta!$G$2:$G$400,Meta!$F$2:$F$400,"open_pi",Meta!$D$2:$D$400,C$3,Meta!$A$2:$A$400,"TOC")</f>
        <v/>
      </c>
      <c r="D73" s="22">
        <f>SUMIFS(Meta!$G$2:$G$400,Meta!$F$2:$F$400,"open_pi",Meta!$D$2:$D$400,D$3,Meta!$A$2:$A$400,"TOC")</f>
        <v/>
      </c>
      <c r="E73" s="22">
        <f>SUMIFS(Meta!$G$2:$G$400,Meta!$F$2:$F$400,"open_pi",Meta!$D$2:$D$400,E$3,Meta!$A$2:$A$400,"TOC")</f>
        <v/>
      </c>
      <c r="F73" s="22">
        <f>SUMIFS(Meta!$G$2:$G$400,Meta!$F$2:$F$400,"open_pi",Meta!$D$2:$D$400,F$3,Meta!$A$2:$A$400,"TOC")</f>
        <v/>
      </c>
      <c r="G73" s="22">
        <f>SUMIFS(Meta!$G$2:$G$400,Meta!$F$2:$F$400,"open_pi",Meta!$D$2:$D$400,G$3,Meta!$A$2:$A$400,"TOC")</f>
        <v/>
      </c>
    </row>
    <row r="74">
      <c r="A74" s="20" t="inlineStr">
        <is>
          <t>研究院期初 GPU 原值</t>
        </is>
      </c>
      <c r="B74" s="2" t="inlineStr">
        <is>
          <t>并入2023批次</t>
        </is>
      </c>
      <c r="C74" s="22">
        <f>SUMIFS(Meta!$G$2:$G$400,Meta!$F$2:$F$400,"open_fa",Meta!$D$2:$D$400,C$3,Meta!$A$2:$A$400,"HOLD")</f>
        <v/>
      </c>
      <c r="D74" s="22">
        <f>SUMIFS(Meta!$G$2:$G$400,Meta!$F$2:$F$400,"open_fa",Meta!$D$2:$D$400,D$3,Meta!$A$2:$A$400,"HOLD")</f>
        <v/>
      </c>
      <c r="E74" s="22">
        <f>SUMIFS(Meta!$G$2:$G$400,Meta!$F$2:$F$400,"open_fa",Meta!$D$2:$D$400,E$3,Meta!$A$2:$A$400,"HOLD")</f>
        <v/>
      </c>
      <c r="F74" s="22">
        <f>SUMIFS(Meta!$G$2:$G$400,Meta!$F$2:$F$400,"open_fa",Meta!$D$2:$D$400,F$3,Meta!$A$2:$A$400,"HOLD")</f>
        <v/>
      </c>
      <c r="G74" s="22">
        <f>SUMIFS(Meta!$G$2:$G$400,Meta!$F$2:$F$400,"open_fa",Meta!$D$2:$D$400,G$3,Meta!$A$2:$A$400,"HOLD")</f>
        <v/>
      </c>
    </row>
    <row r="75">
      <c r="A75" s="20" t="inlineStr">
        <is>
          <t>智擎云期初 GPU 原值</t>
        </is>
      </c>
      <c r="B75" s="2" t="inlineStr">
        <is>
          <t>并入2023批次</t>
        </is>
      </c>
      <c r="C75" s="22">
        <f>SUMIFS(Meta!$G$2:$G$400,Meta!$F$2:$F$400,"open_fa",Meta!$D$2:$D$400,C$3,Meta!$A$2:$A$400,"CLOUD")</f>
        <v/>
      </c>
      <c r="D75" s="22">
        <f>SUMIFS(Meta!$G$2:$G$400,Meta!$F$2:$F$400,"open_fa",Meta!$D$2:$D$400,D$3,Meta!$A$2:$A$400,"CLOUD")</f>
        <v/>
      </c>
      <c r="E75" s="22">
        <f>SUMIFS(Meta!$G$2:$G$400,Meta!$F$2:$F$400,"open_fa",Meta!$D$2:$D$400,E$3,Meta!$A$2:$A$400,"CLOUD")</f>
        <v/>
      </c>
      <c r="F75" s="22">
        <f>SUMIFS(Meta!$G$2:$G$400,Meta!$F$2:$F$400,"open_fa",Meta!$D$2:$D$400,F$3,Meta!$A$2:$A$400,"CLOUD")</f>
        <v/>
      </c>
      <c r="G75" s="22">
        <f>SUMIFS(Meta!$G$2:$G$400,Meta!$F$2:$F$400,"open_fa",Meta!$D$2:$D$400,G$3,Meta!$A$2:$A$400,"CLOUD")</f>
        <v/>
      </c>
    </row>
    <row r="76">
      <c r="A76" s="20" t="inlineStr">
        <is>
          <t>研究院期初长投合计</t>
        </is>
      </c>
      <c r="C76" s="22">
        <f>SUMIFS(Meta!$G$2:$G$400,Meta!$F$2:$F$400,"open_lt_inv",Meta!$D$2:$D$400,C$3,Meta!$A$2:$A$400,"HOLD")</f>
        <v/>
      </c>
      <c r="D76" s="22">
        <f>SUMIFS(Meta!$G$2:$G$400,Meta!$F$2:$F$400,"open_lt_inv",Meta!$D$2:$D$400,D$3,Meta!$A$2:$A$400,"HOLD")</f>
        <v/>
      </c>
      <c r="E76" s="22">
        <f>SUMIFS(Meta!$G$2:$G$400,Meta!$F$2:$F$400,"open_lt_inv",Meta!$D$2:$D$400,E$3,Meta!$A$2:$A$400,"HOLD")</f>
        <v/>
      </c>
      <c r="F76" s="22">
        <f>SUMIFS(Meta!$G$2:$G$400,Meta!$F$2:$F$400,"open_lt_inv",Meta!$D$2:$D$400,F$3,Meta!$A$2:$A$400,"HOLD")</f>
        <v/>
      </c>
      <c r="G76" s="22">
        <f>SUMIFS(Meta!$G$2:$G$400,Meta!$F$2:$F$400,"open_lt_inv",Meta!$D$2:$D$400,G$3,Meta!$A$2:$A$400,"HOLD")</f>
        <v/>
      </c>
    </row>
    <row r="77">
      <c r="A77" s="20" t="inlineStr">
        <is>
          <t>智擎云 递延收入率</t>
        </is>
      </c>
      <c r="B77" s="2" t="inlineStr">
        <is>
          <t>期末递延/当年收入</t>
        </is>
      </c>
      <c r="C77" s="21">
        <f>SUMIFS(Meta!$G$2:$G$400,Meta!$F$2:$F$400,"deferred_rate",Meta!$D$2:$D$400,C$3,Meta!$A$2:$A$400,"CLOUD")</f>
        <v/>
      </c>
      <c r="D77" s="21">
        <f>SUMIFS(Meta!$G$2:$G$400,Meta!$F$2:$F$400,"deferred_rate",Meta!$D$2:$D$400,D$3,Meta!$A$2:$A$400,"CLOUD")</f>
        <v/>
      </c>
      <c r="E77" s="21">
        <f>SUMIFS(Meta!$G$2:$G$400,Meta!$F$2:$F$400,"deferred_rate",Meta!$D$2:$D$400,E$3,Meta!$A$2:$A$400,"CLOUD")</f>
        <v/>
      </c>
      <c r="F77" s="21">
        <f>SUMIFS(Meta!$G$2:$G$400,Meta!$F$2:$F$400,"deferred_rate",Meta!$D$2:$D$400,F$3,Meta!$A$2:$A$400,"CLOUD")</f>
        <v/>
      </c>
      <c r="G77" s="21">
        <f>SUMIFS(Meta!$G$2:$G$400,Meta!$F$2:$F$400,"deferred_rate",Meta!$D$2:$D$400,G$3,Meta!$A$2:$A$400,"CLOUD")</f>
        <v/>
      </c>
    </row>
    <row r="78">
      <c r="A78" s="20" t="inlineStr">
        <is>
          <t>智擎行业 递延收入率</t>
        </is>
      </c>
      <c r="B78" s="2" t="inlineStr">
        <is>
          <t>期末递延/当年收入</t>
        </is>
      </c>
      <c r="C78" s="21">
        <f>SUMIFS(Meta!$G$2:$G$400,Meta!$F$2:$F$400,"deferred_rate",Meta!$D$2:$D$400,C$3,Meta!$A$2:$A$400,"IND")</f>
        <v/>
      </c>
      <c r="D78" s="21">
        <f>SUMIFS(Meta!$G$2:$G$400,Meta!$F$2:$F$400,"deferred_rate",Meta!$D$2:$D$400,D$3,Meta!$A$2:$A$400,"IND")</f>
        <v/>
      </c>
      <c r="E78" s="21">
        <f>SUMIFS(Meta!$G$2:$G$400,Meta!$F$2:$F$400,"deferred_rate",Meta!$D$2:$D$400,E$3,Meta!$A$2:$A$400,"IND")</f>
        <v/>
      </c>
      <c r="F78" s="21">
        <f>SUMIFS(Meta!$G$2:$G$400,Meta!$F$2:$F$400,"deferred_rate",Meta!$D$2:$D$400,F$3,Meta!$A$2:$A$400,"IND")</f>
        <v/>
      </c>
      <c r="G78" s="21">
        <f>SUMIFS(Meta!$G$2:$G$400,Meta!$F$2:$F$400,"deferred_rate",Meta!$D$2:$D$400,G$3,Meta!$A$2:$A$400,"IND")</f>
        <v/>
      </c>
    </row>
    <row r="79">
      <c r="A79" s="20" t="inlineStr">
        <is>
          <t>智擎互联 递延收入率</t>
        </is>
      </c>
      <c r="B79" s="2" t="inlineStr">
        <is>
          <t>期末递延/当年收入</t>
        </is>
      </c>
      <c r="C79" s="21">
        <f>SUMIFS(Meta!$G$2:$G$400,Meta!$F$2:$F$400,"deferred_rate",Meta!$D$2:$D$400,C$3,Meta!$A$2:$A$400,"TOC")</f>
        <v/>
      </c>
      <c r="D79" s="21">
        <f>SUMIFS(Meta!$G$2:$G$400,Meta!$F$2:$F$400,"deferred_rate",Meta!$D$2:$D$400,D$3,Meta!$A$2:$A$400,"TOC")</f>
        <v/>
      </c>
      <c r="E79" s="21">
        <f>SUMIFS(Meta!$G$2:$G$400,Meta!$F$2:$F$400,"deferred_rate",Meta!$D$2:$D$400,E$3,Meta!$A$2:$A$400,"TOC")</f>
        <v/>
      </c>
      <c r="F79" s="21">
        <f>SUMIFS(Meta!$G$2:$G$400,Meta!$F$2:$F$400,"deferred_rate",Meta!$D$2:$D$400,F$3,Meta!$A$2:$A$400,"TOC")</f>
        <v/>
      </c>
      <c r="G79" s="21">
        <f>SUMIFS(Meta!$G$2:$G$400,Meta!$F$2:$F$400,"deferred_rate",Meta!$D$2:$D$400,G$3,Meta!$A$2:$A$400,"TOC")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2" customWidth="1" min="8" max="8"/>
  </cols>
  <sheetData>
    <row r="1">
      <c r="A1" s="15" t="inlineStr">
        <is>
          <t>GPU 资本开支与折旧引擎</t>
        </is>
      </c>
    </row>
    <row r="2">
      <c r="A2" s="2" t="inlineStr">
        <is>
          <t>批次法：购置当年起 5 年直线 | 大模型公司的资产负债表灵魂</t>
        </is>
      </c>
    </row>
    <row r="3">
      <c r="A3" s="3" t="inlineStr">
        <is>
          <t>科目（万元）</t>
        </is>
      </c>
      <c r="B3" s="3" t="inlineStr">
        <is>
          <t>备注</t>
        </is>
      </c>
      <c r="C3" s="16" t="n">
        <v>2023</v>
      </c>
      <c r="D3" s="16" t="n">
        <v>2024</v>
      </c>
      <c r="E3" s="16" t="n">
        <v>2025</v>
      </c>
      <c r="F3" s="17" t="n">
        <v>2026</v>
      </c>
      <c r="G3" s="17" t="n">
        <v>2027</v>
      </c>
    </row>
    <row r="4">
      <c r="A4" s="18" t="inlineStr">
        <is>
          <t>── 采购计划（取自 Meta）──</t>
        </is>
      </c>
      <c r="B4" s="19" t="n"/>
      <c r="C4" s="19" t="n"/>
      <c r="D4" s="19" t="n"/>
      <c r="E4" s="19" t="n"/>
      <c r="F4" s="19" t="n"/>
      <c r="G4" s="19" t="n"/>
      <c r="H4" s="19" t="n"/>
    </row>
    <row r="5">
      <c r="A5" s="20" t="inlineStr">
        <is>
          <t>训练 GPU 采购（研究院）</t>
        </is>
      </c>
      <c r="B5" s="2" t="inlineStr">
        <is>
          <t>含期初存量并入2023批</t>
        </is>
      </c>
      <c r="C5" s="24">
        <f>SUMIFS(Meta!$G$2:$G$400,Meta!$F$2:$F$400,"capex_gpu",Meta!$D$2:$D$400,C$3,Meta!$A$2:$A$400,"HOLD")</f>
        <v/>
      </c>
      <c r="D5" s="24">
        <f>SUMIFS(Meta!$G$2:$G$400,Meta!$F$2:$F$400,"capex_gpu",Meta!$D$2:$D$400,D$3,Meta!$A$2:$A$400,"HOLD")</f>
        <v/>
      </c>
      <c r="E5" s="24">
        <f>SUMIFS(Meta!$G$2:$G$400,Meta!$F$2:$F$400,"capex_gpu",Meta!$D$2:$D$400,E$3,Meta!$A$2:$A$400,"HOLD")</f>
        <v/>
      </c>
      <c r="F5" s="24">
        <f>SUMIFS(Meta!$G$2:$G$400,Meta!$F$2:$F$400,"capex_gpu",Meta!$D$2:$D$400,F$3,Meta!$A$2:$A$400,"HOLD")</f>
        <v/>
      </c>
      <c r="G5" s="24">
        <f>SUMIFS(Meta!$G$2:$G$400,Meta!$F$2:$F$400,"capex_gpu",Meta!$D$2:$D$400,G$3,Meta!$A$2:$A$400,"HOLD")</f>
        <v/>
      </c>
    </row>
    <row r="6">
      <c r="A6" s="20" t="inlineStr">
        <is>
          <t>推理 GPU 采购（智擎云）</t>
        </is>
      </c>
      <c r="C6" s="24">
        <f>SUMIFS(Meta!$G$2:$G$400,Meta!$F$2:$F$400,"capex_gpu",Meta!$D$2:$D$400,C$3,Meta!$A$2:$A$400,"CLOUD")</f>
        <v/>
      </c>
      <c r="D6" s="24">
        <f>SUMIFS(Meta!$G$2:$G$400,Meta!$F$2:$F$400,"capex_gpu",Meta!$D$2:$D$400,D$3,Meta!$A$2:$A$400,"CLOUD")</f>
        <v/>
      </c>
      <c r="E6" s="24">
        <f>SUMIFS(Meta!$G$2:$G$400,Meta!$F$2:$F$400,"capex_gpu",Meta!$D$2:$D$400,E$3,Meta!$A$2:$A$400,"CLOUD")</f>
        <v/>
      </c>
      <c r="F6" s="24">
        <f>SUMIFS(Meta!$G$2:$G$400,Meta!$F$2:$F$400,"capex_gpu",Meta!$D$2:$D$400,F$3,Meta!$A$2:$A$400,"CLOUD")</f>
        <v/>
      </c>
      <c r="G6" s="24">
        <f>SUMIFS(Meta!$G$2:$G$400,Meta!$F$2:$F$400,"capex_gpu",Meta!$D$2:$D$400,G$3,Meta!$A$2:$A$400,"CLOUD")</f>
        <v/>
      </c>
    </row>
    <row r="8">
      <c r="A8" s="18" t="inlineStr">
        <is>
          <t>── 批次折旧明细（H列=批次原值[取自Meta]，B列=购置年）──</t>
        </is>
      </c>
      <c r="B8" s="19" t="n"/>
      <c r="C8" s="19" t="n"/>
      <c r="D8" s="19" t="n"/>
      <c r="E8" s="19" t="n"/>
      <c r="F8" s="19" t="n"/>
      <c r="G8" s="19" t="n"/>
      <c r="H8" s="19" t="n"/>
    </row>
    <row r="9">
      <c r="A9" s="5" t="inlineStr">
        <is>
          <t>训练卡 2023批</t>
        </is>
      </c>
      <c r="B9" s="27" t="n">
        <v>2023</v>
      </c>
      <c r="C9" s="28">
        <f>IF(AND(C$3&gt;=$B9,C$3&lt;$B9+5),$H9/5,0)</f>
        <v/>
      </c>
      <c r="D9" s="28">
        <f>IF(AND(D$3&gt;=$B9,D$3&lt;$B9+5),$H9/5,0)</f>
        <v/>
      </c>
      <c r="E9" s="28">
        <f>IF(AND(E$3&gt;=$B9,E$3&lt;$B9+5),$H9/5,0)</f>
        <v/>
      </c>
      <c r="F9" s="28">
        <f>IF(AND(F$3&gt;=$B9,F$3&lt;$B9+5),$H9/5,0)</f>
        <v/>
      </c>
      <c r="G9" s="28">
        <f>IF(AND(G$3&gt;=$B9,G$3&lt;$B9+5),$H9/5,0)</f>
        <v/>
      </c>
      <c r="H9" s="24">
        <f>SUMIFS(Meta!$G$2:$G$400,Meta!$F$2:$F$400,"open_fa",Meta!$D$2:$D$400,C$3,Meta!$A$2:$A$400,"HOLD")+SUMIFS(Meta!$G$2:$G$400,Meta!$F$2:$F$400,"capex_gpu",Meta!$D$2:$D$400,C$3,Meta!$A$2:$A$400,"HOLD")</f>
        <v/>
      </c>
    </row>
    <row r="10">
      <c r="A10" s="5" t="inlineStr">
        <is>
          <t>训练卡 2024批</t>
        </is>
      </c>
      <c r="B10" s="27" t="n">
        <v>2024</v>
      </c>
      <c r="C10" s="28">
        <f>IF(AND(C$3&gt;=$B10,C$3&lt;$B10+5),$H10/5,0)</f>
        <v/>
      </c>
      <c r="D10" s="28">
        <f>IF(AND(D$3&gt;=$B10,D$3&lt;$B10+5),$H10/5,0)</f>
        <v/>
      </c>
      <c r="E10" s="28">
        <f>IF(AND(E$3&gt;=$B10,E$3&lt;$B10+5),$H10/5,0)</f>
        <v/>
      </c>
      <c r="F10" s="28">
        <f>IF(AND(F$3&gt;=$B10,F$3&lt;$B10+5),$H10/5,0)</f>
        <v/>
      </c>
      <c r="G10" s="28">
        <f>IF(AND(G$3&gt;=$B10,G$3&lt;$B10+5),$H10/5,0)</f>
        <v/>
      </c>
      <c r="H10" s="24">
        <f>SUMIFS(Meta!$G$2:$G$400,Meta!$F$2:$F$400,"capex_gpu",Meta!$D$2:$D$400,D$3,Meta!$A$2:$A$400,"HOLD")</f>
        <v/>
      </c>
    </row>
    <row r="11">
      <c r="A11" s="5" t="inlineStr">
        <is>
          <t>训练卡 2025批</t>
        </is>
      </c>
      <c r="B11" s="27" t="n">
        <v>2025</v>
      </c>
      <c r="C11" s="28">
        <f>IF(AND(C$3&gt;=$B11,C$3&lt;$B11+5),$H11/5,0)</f>
        <v/>
      </c>
      <c r="D11" s="28">
        <f>IF(AND(D$3&gt;=$B11,D$3&lt;$B11+5),$H11/5,0)</f>
        <v/>
      </c>
      <c r="E11" s="28">
        <f>IF(AND(E$3&gt;=$B11,E$3&lt;$B11+5),$H11/5,0)</f>
        <v/>
      </c>
      <c r="F11" s="28">
        <f>IF(AND(F$3&gt;=$B11,F$3&lt;$B11+5),$H11/5,0)</f>
        <v/>
      </c>
      <c r="G11" s="28">
        <f>IF(AND(G$3&gt;=$B11,G$3&lt;$B11+5),$H11/5,0)</f>
        <v/>
      </c>
      <c r="H11" s="24">
        <f>SUMIFS(Meta!$G$2:$G$400,Meta!$F$2:$F$400,"capex_gpu",Meta!$D$2:$D$400,E$3,Meta!$A$2:$A$400,"HOLD")</f>
        <v/>
      </c>
    </row>
    <row r="12">
      <c r="A12" s="5" t="inlineStr">
        <is>
          <t>训练卡 2026批</t>
        </is>
      </c>
      <c r="B12" s="27" t="n">
        <v>2026</v>
      </c>
      <c r="C12" s="28">
        <f>IF(AND(C$3&gt;=$B12,C$3&lt;$B12+5),$H12/5,0)</f>
        <v/>
      </c>
      <c r="D12" s="28">
        <f>IF(AND(D$3&gt;=$B12,D$3&lt;$B12+5),$H12/5,0)</f>
        <v/>
      </c>
      <c r="E12" s="28">
        <f>IF(AND(E$3&gt;=$B12,E$3&lt;$B12+5),$H12/5,0)</f>
        <v/>
      </c>
      <c r="F12" s="28">
        <f>IF(AND(F$3&gt;=$B12,F$3&lt;$B12+5),$H12/5,0)</f>
        <v/>
      </c>
      <c r="G12" s="28">
        <f>IF(AND(G$3&gt;=$B12,G$3&lt;$B12+5),$H12/5,0)</f>
        <v/>
      </c>
      <c r="H12" s="24">
        <f>SUMIFS(Meta!$G$2:$G$400,Meta!$F$2:$F$400,"capex_gpu",Meta!$D$2:$D$400,F$3,Meta!$A$2:$A$400,"HOLD")</f>
        <v/>
      </c>
    </row>
    <row r="13">
      <c r="A13" s="5" t="inlineStr">
        <is>
          <t>训练卡 2027批</t>
        </is>
      </c>
      <c r="B13" s="27" t="n">
        <v>2027</v>
      </c>
      <c r="C13" s="28">
        <f>IF(AND(C$3&gt;=$B13,C$3&lt;$B13+5),$H13/5,0)</f>
        <v/>
      </c>
      <c r="D13" s="28">
        <f>IF(AND(D$3&gt;=$B13,D$3&lt;$B13+5),$H13/5,0)</f>
        <v/>
      </c>
      <c r="E13" s="28">
        <f>IF(AND(E$3&gt;=$B13,E$3&lt;$B13+5),$H13/5,0)</f>
        <v/>
      </c>
      <c r="F13" s="28">
        <f>IF(AND(F$3&gt;=$B13,F$3&lt;$B13+5),$H13/5,0)</f>
        <v/>
      </c>
      <c r="G13" s="28">
        <f>IF(AND(G$3&gt;=$B13,G$3&lt;$B13+5),$H13/5,0)</f>
        <v/>
      </c>
      <c r="H13" s="24">
        <f>SUMIFS(Meta!$G$2:$G$400,Meta!$F$2:$F$400,"capex_gpu",Meta!$D$2:$D$400,G$3,Meta!$A$2:$A$400,"HOLD")</f>
        <v/>
      </c>
    </row>
    <row r="15">
      <c r="A15" s="5" t="inlineStr">
        <is>
          <t>推理卡 2023批</t>
        </is>
      </c>
      <c r="B15" s="27" t="n">
        <v>2023</v>
      </c>
      <c r="C15" s="28">
        <f>IF(AND(C$3&gt;=$B15,C$3&lt;$B15+5),$H15/5,0)</f>
        <v/>
      </c>
      <c r="D15" s="28">
        <f>IF(AND(D$3&gt;=$B15,D$3&lt;$B15+5),$H15/5,0)</f>
        <v/>
      </c>
      <c r="E15" s="28">
        <f>IF(AND(E$3&gt;=$B15,E$3&lt;$B15+5),$H15/5,0)</f>
        <v/>
      </c>
      <c r="F15" s="28">
        <f>IF(AND(F$3&gt;=$B15,F$3&lt;$B15+5),$H15/5,0)</f>
        <v/>
      </c>
      <c r="G15" s="28">
        <f>IF(AND(G$3&gt;=$B15,G$3&lt;$B15+5),$H15/5,0)</f>
        <v/>
      </c>
      <c r="H15" s="24">
        <f>SUMIFS(Meta!$G$2:$G$400,Meta!$F$2:$F$400,"open_fa",Meta!$D$2:$D$400,C$3,Meta!$A$2:$A$400,"CLOUD")+SUMIFS(Meta!$G$2:$G$400,Meta!$F$2:$F$400,"capex_gpu",Meta!$D$2:$D$400,C$3,Meta!$A$2:$A$400,"CLOUD")</f>
        <v/>
      </c>
    </row>
    <row r="16">
      <c r="A16" s="5" t="inlineStr">
        <is>
          <t>推理卡 2024批</t>
        </is>
      </c>
      <c r="B16" s="27" t="n">
        <v>2024</v>
      </c>
      <c r="C16" s="28">
        <f>IF(AND(C$3&gt;=$B16,C$3&lt;$B16+5),$H16/5,0)</f>
        <v/>
      </c>
      <c r="D16" s="28">
        <f>IF(AND(D$3&gt;=$B16,D$3&lt;$B16+5),$H16/5,0)</f>
        <v/>
      </c>
      <c r="E16" s="28">
        <f>IF(AND(E$3&gt;=$B16,E$3&lt;$B16+5),$H16/5,0)</f>
        <v/>
      </c>
      <c r="F16" s="28">
        <f>IF(AND(F$3&gt;=$B16,F$3&lt;$B16+5),$H16/5,0)</f>
        <v/>
      </c>
      <c r="G16" s="28">
        <f>IF(AND(G$3&gt;=$B16,G$3&lt;$B16+5),$H16/5,0)</f>
        <v/>
      </c>
      <c r="H16" s="24">
        <f>SUMIFS(Meta!$G$2:$G$400,Meta!$F$2:$F$400,"capex_gpu",Meta!$D$2:$D$400,D$3,Meta!$A$2:$A$400,"CLOUD")</f>
        <v/>
      </c>
    </row>
    <row r="17">
      <c r="A17" s="5" t="inlineStr">
        <is>
          <t>推理卡 2025批</t>
        </is>
      </c>
      <c r="B17" s="27" t="n">
        <v>2025</v>
      </c>
      <c r="C17" s="28">
        <f>IF(AND(C$3&gt;=$B17,C$3&lt;$B17+5),$H17/5,0)</f>
        <v/>
      </c>
      <c r="D17" s="28">
        <f>IF(AND(D$3&gt;=$B17,D$3&lt;$B17+5),$H17/5,0)</f>
        <v/>
      </c>
      <c r="E17" s="28">
        <f>IF(AND(E$3&gt;=$B17,E$3&lt;$B17+5),$H17/5,0)</f>
        <v/>
      </c>
      <c r="F17" s="28">
        <f>IF(AND(F$3&gt;=$B17,F$3&lt;$B17+5),$H17/5,0)</f>
        <v/>
      </c>
      <c r="G17" s="28">
        <f>IF(AND(G$3&gt;=$B17,G$3&lt;$B17+5),$H17/5,0)</f>
        <v/>
      </c>
      <c r="H17" s="24">
        <f>SUMIFS(Meta!$G$2:$G$400,Meta!$F$2:$F$400,"capex_gpu",Meta!$D$2:$D$400,E$3,Meta!$A$2:$A$400,"CLOUD")</f>
        <v/>
      </c>
    </row>
    <row r="18">
      <c r="A18" s="5" t="inlineStr">
        <is>
          <t>推理卡 2026批</t>
        </is>
      </c>
      <c r="B18" s="27" t="n">
        <v>2026</v>
      </c>
      <c r="C18" s="28">
        <f>IF(AND(C$3&gt;=$B18,C$3&lt;$B18+5),$H18/5,0)</f>
        <v/>
      </c>
      <c r="D18" s="28">
        <f>IF(AND(D$3&gt;=$B18,D$3&lt;$B18+5),$H18/5,0)</f>
        <v/>
      </c>
      <c r="E18" s="28">
        <f>IF(AND(E$3&gt;=$B18,E$3&lt;$B18+5),$H18/5,0)</f>
        <v/>
      </c>
      <c r="F18" s="28">
        <f>IF(AND(F$3&gt;=$B18,F$3&lt;$B18+5),$H18/5,0)</f>
        <v/>
      </c>
      <c r="G18" s="28">
        <f>IF(AND(G$3&gt;=$B18,G$3&lt;$B18+5),$H18/5,0)</f>
        <v/>
      </c>
      <c r="H18" s="24">
        <f>SUMIFS(Meta!$G$2:$G$400,Meta!$F$2:$F$400,"capex_gpu",Meta!$D$2:$D$400,F$3,Meta!$A$2:$A$400,"CLOUD")</f>
        <v/>
      </c>
    </row>
    <row r="19">
      <c r="A19" s="5" t="inlineStr">
        <is>
          <t>推理卡 2027批</t>
        </is>
      </c>
      <c r="B19" s="27" t="n">
        <v>2027</v>
      </c>
      <c r="C19" s="28">
        <f>IF(AND(C$3&gt;=$B19,C$3&lt;$B19+5),$H19/5,0)</f>
        <v/>
      </c>
      <c r="D19" s="28">
        <f>IF(AND(D$3&gt;=$B19,D$3&lt;$B19+5),$H19/5,0)</f>
        <v/>
      </c>
      <c r="E19" s="28">
        <f>IF(AND(E$3&gt;=$B19,E$3&lt;$B19+5),$H19/5,0)</f>
        <v/>
      </c>
      <c r="F19" s="28">
        <f>IF(AND(F$3&gt;=$B19,F$3&lt;$B19+5),$H19/5,0)</f>
        <v/>
      </c>
      <c r="G19" s="28">
        <f>IF(AND(G$3&gt;=$B19,G$3&lt;$B19+5),$H19/5,0)</f>
        <v/>
      </c>
      <c r="H19" s="24">
        <f>SUMIFS(Meta!$G$2:$G$400,Meta!$F$2:$F$400,"capex_gpu",Meta!$D$2:$D$400,G$3,Meta!$A$2:$A$400,"CLOUD")</f>
        <v/>
      </c>
    </row>
    <row r="21">
      <c r="A21" s="18" t="inlineStr">
        <is>
          <t>── 汇总 ──</t>
        </is>
      </c>
      <c r="B21" s="19" t="n"/>
      <c r="C21" s="19" t="n"/>
      <c r="D21" s="19" t="n"/>
      <c r="E21" s="19" t="n"/>
      <c r="F21" s="19" t="n"/>
      <c r="G21" s="19" t="n"/>
      <c r="H21" s="19" t="n"/>
    </row>
    <row r="22">
      <c r="A22" s="3" t="inlineStr">
        <is>
          <t>训练 GPU 当年折旧</t>
        </is>
      </c>
      <c r="B22" s="2" t="inlineStr">
        <is>
          <t>→ 研究院研发费用</t>
        </is>
      </c>
      <c r="C22" s="29">
        <f>SUM(C9:C13)</f>
        <v/>
      </c>
      <c r="D22" s="29">
        <f>SUM(D9:D13)</f>
        <v/>
      </c>
      <c r="E22" s="29">
        <f>SUM(E9:E13)</f>
        <v/>
      </c>
      <c r="F22" s="29">
        <f>SUM(F9:F13)</f>
        <v/>
      </c>
      <c r="G22" s="29">
        <f>SUM(G9:G13)</f>
        <v/>
      </c>
    </row>
    <row r="23">
      <c r="A23" s="3" t="inlineStr">
        <is>
          <t>训练 GPU 净值</t>
        </is>
      </c>
      <c r="B23" s="2" t="inlineStr">
        <is>
          <t>→ 研究院 BS</t>
        </is>
      </c>
      <c r="C23" s="29">
        <f>SUMIFS($H$9:$H$13,$B$9:$B$13,"&lt;="&amp;C$3)-SUM($C$22:C22)</f>
        <v/>
      </c>
      <c r="D23" s="29">
        <f>SUMIFS($H$9:$H$13,$B$9:$B$13,"&lt;="&amp;D$3)-SUM($C$22:D22)</f>
        <v/>
      </c>
      <c r="E23" s="29">
        <f>SUMIFS($H$9:$H$13,$B$9:$B$13,"&lt;="&amp;E$3)-SUM($C$22:E22)</f>
        <v/>
      </c>
      <c r="F23" s="29">
        <f>SUMIFS($H$9:$H$13,$B$9:$B$13,"&lt;="&amp;F$3)-SUM($C$22:F22)</f>
        <v/>
      </c>
      <c r="G23" s="29">
        <f>SUMIFS($H$9:$H$13,$B$9:$B$13,"&lt;="&amp;G$3)-SUM($C$22:G22)</f>
        <v/>
      </c>
    </row>
    <row r="24">
      <c r="A24" s="3" t="inlineStr">
        <is>
          <t>推理 GPU 当年折旧</t>
        </is>
      </c>
      <c r="B24" s="2" t="inlineStr">
        <is>
          <t>→ 智擎云 COGS 构成</t>
        </is>
      </c>
      <c r="C24" s="29">
        <f>SUM(C15:C19)</f>
        <v/>
      </c>
      <c r="D24" s="29">
        <f>SUM(D15:D19)</f>
        <v/>
      </c>
      <c r="E24" s="29">
        <f>SUM(E15:E19)</f>
        <v/>
      </c>
      <c r="F24" s="29">
        <f>SUM(F15:F19)</f>
        <v/>
      </c>
      <c r="G24" s="29">
        <f>SUM(G15:G19)</f>
        <v/>
      </c>
    </row>
    <row r="25">
      <c r="A25" s="3" t="inlineStr">
        <is>
          <t>推理 GPU 净值</t>
        </is>
      </c>
      <c r="B25" s="2" t="inlineStr">
        <is>
          <t>→ 智擎云 BS</t>
        </is>
      </c>
      <c r="C25" s="29">
        <f>SUMIFS($H$15:$H$19,$B$15:$B$19,"&lt;="&amp;C$3)-SUM($C$24:C24)</f>
        <v/>
      </c>
      <c r="D25" s="29">
        <f>SUMIFS($H$15:$H$19,$B$15:$B$19,"&lt;="&amp;D$3)-SUM($C$24:D24)</f>
        <v/>
      </c>
      <c r="E25" s="29">
        <f>SUMIFS($H$15:$H$19,$B$15:$B$19,"&lt;="&amp;E$3)-SUM($C$24:E24)</f>
        <v/>
      </c>
      <c r="F25" s="29">
        <f>SUMIFS($H$15:$H$19,$B$15:$B$19,"&lt;="&amp;F$3)-SUM($C$24:F24)</f>
        <v/>
      </c>
      <c r="G25" s="29">
        <f>SUMIFS($H$15:$H$19,$B$15:$B$19,"&lt;="&amp;G$3)-SUM($C$24:G24)</f>
        <v/>
      </c>
    </row>
    <row r="27">
      <c r="A27" s="3" t="inlineStr">
        <is>
          <t>★ 引擎自检（折旧/净值 vs 影子值，应全 0）</t>
        </is>
      </c>
      <c r="C27" s="30" t="n"/>
      <c r="D27" s="30" t="n"/>
      <c r="E27" s="30" t="n"/>
      <c r="F27" s="30" t="n"/>
      <c r="G27" s="30" t="n"/>
    </row>
    <row r="28">
      <c r="A28" s="5" t="inlineStr">
        <is>
          <t xml:space="preserve">  diff DEP_TRAIN</t>
        </is>
      </c>
      <c r="B28" s="2" t="inlineStr">
        <is>
          <t>绿=0</t>
        </is>
      </c>
      <c r="C28" s="31">
        <f>C22-(17000.000000)</f>
        <v/>
      </c>
      <c r="D28" s="31">
        <f>D22-(29000.000000)</f>
        <v/>
      </c>
      <c r="E28" s="31">
        <f>E22-(35000.000000)</f>
        <v/>
      </c>
      <c r="F28" s="31">
        <f>F22-(38000.000000)</f>
        <v/>
      </c>
      <c r="G28" s="31">
        <f>G22-(41000.000000)</f>
        <v/>
      </c>
    </row>
    <row r="29">
      <c r="A29" s="5" t="inlineStr">
        <is>
          <t xml:space="preserve">  diff NET_TRAIN</t>
        </is>
      </c>
      <c r="B29" s="2" t="inlineStr">
        <is>
          <t>绿=0</t>
        </is>
      </c>
      <c r="C29" s="31">
        <f>C23-(68000.000000)</f>
        <v/>
      </c>
      <c r="D29" s="31">
        <f>D23-(99000.000000)</f>
        <v/>
      </c>
      <c r="E29" s="31">
        <f>E23-(94000.000000)</f>
        <v/>
      </c>
      <c r="F29" s="31">
        <f>F23-(71000.000000)</f>
        <v/>
      </c>
      <c r="G29" s="31">
        <f>G23-(45000.000000)</f>
        <v/>
      </c>
    </row>
    <row r="30">
      <c r="A30" s="5" t="inlineStr">
        <is>
          <t xml:space="preserve">  diff DEP_INFER</t>
        </is>
      </c>
      <c r="B30" s="2" t="inlineStr">
        <is>
          <t>绿=0</t>
        </is>
      </c>
      <c r="C30" s="31">
        <f>C24-(7000.000000)</f>
        <v/>
      </c>
      <c r="D30" s="31">
        <f>D24-(13000.000000)</f>
        <v/>
      </c>
      <c r="E30" s="31">
        <f>E24-(19000.000000)</f>
        <v/>
      </c>
      <c r="F30" s="31">
        <f>F24-(22000.000000)</f>
        <v/>
      </c>
      <c r="G30" s="31">
        <f>G24-(24000.000000)</f>
        <v/>
      </c>
    </row>
    <row r="31">
      <c r="A31" s="5" t="inlineStr">
        <is>
          <t xml:space="preserve">  diff NET_INFER</t>
        </is>
      </c>
      <c r="B31" s="2" t="inlineStr">
        <is>
          <t>绿=0</t>
        </is>
      </c>
      <c r="C31" s="31">
        <f>C25-(28000.000000)</f>
        <v/>
      </c>
      <c r="D31" s="31">
        <f>D25-(45000.000000)</f>
        <v/>
      </c>
      <c r="E31" s="31">
        <f>E25-(56000.000000)</f>
        <v/>
      </c>
      <c r="F31" s="31">
        <f>F25-(49000.000000)</f>
        <v/>
      </c>
      <c r="G31" s="31">
        <f>G25-(35000.000000)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G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</cols>
  <sheetData>
    <row r="1">
      <c r="A1" s="15" t="inlineStr">
        <is>
          <t>智擎云 · 利润表</t>
        </is>
      </c>
    </row>
    <row r="2">
      <c r="A2" s="2" t="inlineStr">
        <is>
          <t>单体 | MaaS API：token 量 × 单价 | 万元</t>
        </is>
      </c>
    </row>
    <row r="3">
      <c r="A3" s="3" t="inlineStr">
        <is>
          <t>科目（万元）</t>
        </is>
      </c>
      <c r="B3" s="3" t="inlineStr">
        <is>
          <t>备注</t>
        </is>
      </c>
      <c r="C3" s="16" t="n">
        <v>2023</v>
      </c>
      <c r="D3" s="16" t="n">
        <v>2024</v>
      </c>
      <c r="E3" s="16" t="n">
        <v>2025</v>
      </c>
      <c r="F3" s="17" t="n">
        <v>2026</v>
      </c>
      <c r="G3" s="17" t="n">
        <v>2027</v>
      </c>
    </row>
    <row r="4">
      <c r="A4" s="5" t="inlineStr">
        <is>
          <t xml:space="preserve">    对外收入 · MaaS API</t>
        </is>
      </c>
      <c r="B4" s="2" t="inlineStr">
        <is>
          <t>日均token×365×单价/1000</t>
        </is>
      </c>
      <c r="C4" s="8">
        <f>Assumptions!C11*36.5*Assumptions!C12</f>
        <v/>
      </c>
      <c r="D4" s="8">
        <f>Assumptions!D11*36.5*Assumptions!D12</f>
        <v/>
      </c>
      <c r="E4" s="8">
        <f>Assumptions!E11*36.5*Assumptions!E12</f>
        <v/>
      </c>
      <c r="F4" s="8">
        <f>Assumptions!F11*36.5*Assumptions!F12</f>
        <v/>
      </c>
      <c r="G4" s="8">
        <f>Assumptions!G11*36.5*Assumptions!G12</f>
        <v/>
      </c>
    </row>
    <row r="5">
      <c r="A5" s="5" t="inlineStr">
        <is>
          <t xml:space="preserve">    关联收入 · T3 算力服务（互联）</t>
        </is>
      </c>
      <c r="B5" s="2" t="inlineStr">
        <is>
          <t>互联推理成本×70%</t>
        </is>
      </c>
      <c r="C5" s="8">
        <f>Assumptions!C31*Assumptions!C35*12*Assumptions!C52</f>
        <v/>
      </c>
      <c r="D5" s="8">
        <f>Assumptions!D31*Assumptions!D35*12*Assumptions!D52</f>
        <v/>
      </c>
      <c r="E5" s="8">
        <f>Assumptions!E31*Assumptions!E35*12*Assumptions!E52</f>
        <v/>
      </c>
      <c r="F5" s="8">
        <f>Assumptions!F31*Assumptions!F35*12*Assumptions!F52</f>
        <v/>
      </c>
      <c r="G5" s="8">
        <f>Assumptions!G31*Assumptions!G35*12*Assumptions!G52</f>
        <v/>
      </c>
    </row>
    <row r="6">
      <c r="A6" s="3" t="inlineStr">
        <is>
          <t xml:space="preserve">    营业收入合计</t>
        </is>
      </c>
      <c r="C6" s="29">
        <f>Cloud_IS!C4+Cloud_IS!C5</f>
        <v/>
      </c>
      <c r="D6" s="29">
        <f>Cloud_IS!D4+Cloud_IS!D5</f>
        <v/>
      </c>
      <c r="E6" s="29">
        <f>Cloud_IS!E4+Cloud_IS!E5</f>
        <v/>
      </c>
      <c r="F6" s="29">
        <f>Cloud_IS!F4+Cloud_IS!F5</f>
        <v/>
      </c>
      <c r="G6" s="29">
        <f>Cloud_IS!G4+Cloud_IS!G5</f>
        <v/>
      </c>
    </row>
    <row r="7">
      <c r="A7" s="5" t="inlineStr">
        <is>
          <t xml:space="preserve">    成本 · 推理算力（对外部分）</t>
        </is>
      </c>
      <c r="C7" s="8">
        <f>Assumptions!C11*36.5*Assumptions!C13</f>
        <v/>
      </c>
      <c r="D7" s="8">
        <f>Assumptions!D11*36.5*Assumptions!D13</f>
        <v/>
      </c>
      <c r="E7" s="8">
        <f>Assumptions!E11*36.5*Assumptions!E13</f>
        <v/>
      </c>
      <c r="F7" s="8">
        <f>Assumptions!F11*36.5*Assumptions!F13</f>
        <v/>
      </c>
      <c r="G7" s="8">
        <f>Assumptions!G11*36.5*Assumptions!G13</f>
        <v/>
      </c>
    </row>
    <row r="8">
      <c r="A8" s="5" t="inlineStr">
        <is>
          <t xml:space="preserve">    成本 · T3 服务成本</t>
        </is>
      </c>
      <c r="B8" s="2" t="inlineStr">
        <is>
          <t>内部价毛利率45%</t>
        </is>
      </c>
      <c r="C8" s="8">
        <f>Cloud_IS!C5*(1-Assumptions!C53)</f>
        <v/>
      </c>
      <c r="D8" s="8">
        <f>Cloud_IS!D5*(1-Assumptions!D53)</f>
        <v/>
      </c>
      <c r="E8" s="8">
        <f>Cloud_IS!E5*(1-Assumptions!E53)</f>
        <v/>
      </c>
      <c r="F8" s="8">
        <f>Cloud_IS!F5*(1-Assumptions!F53)</f>
        <v/>
      </c>
      <c r="G8" s="8">
        <f>Cloud_IS!G5*(1-Assumptions!G53)</f>
        <v/>
      </c>
    </row>
    <row r="9">
      <c r="A9" s="5" t="inlineStr">
        <is>
          <t xml:space="preserve">    成本 · 带宽机房</t>
        </is>
      </c>
      <c r="C9" s="8">
        <f>Assumptions!C14</f>
        <v/>
      </c>
      <c r="D9" s="8">
        <f>Assumptions!D14</f>
        <v/>
      </c>
      <c r="E9" s="8">
        <f>Assumptions!E14</f>
        <v/>
      </c>
      <c r="F9" s="8">
        <f>Assumptions!F14</f>
        <v/>
      </c>
      <c r="G9" s="8">
        <f>Assumptions!G14</f>
        <v/>
      </c>
    </row>
    <row r="10">
      <c r="A10" s="5" t="inlineStr">
        <is>
          <t xml:space="preserve">    成本 · T1 license 费</t>
        </is>
      </c>
      <c r="C10" s="8">
        <f>Cloud_IS!C4*Assumptions!C48</f>
        <v/>
      </c>
      <c r="D10" s="8">
        <f>Cloud_IS!D4*Assumptions!D48</f>
        <v/>
      </c>
      <c r="E10" s="8">
        <f>Cloud_IS!E4*Assumptions!E48</f>
        <v/>
      </c>
      <c r="F10" s="8">
        <f>Cloud_IS!F4*Assumptions!F48</f>
        <v/>
      </c>
      <c r="G10" s="8">
        <f>Cloud_IS!G4*Assumptions!G48</f>
        <v/>
      </c>
    </row>
    <row r="11">
      <c r="A11" s="3" t="inlineStr">
        <is>
          <t xml:space="preserve">    营业成本合计</t>
        </is>
      </c>
      <c r="C11" s="29">
        <f>SUM(Cloud_IS!C7,Cloud_IS!C8,Cloud_IS!C9,Cloud_IS!C10)</f>
        <v/>
      </c>
      <c r="D11" s="29">
        <f>SUM(Cloud_IS!D7,Cloud_IS!D8,Cloud_IS!D9,Cloud_IS!D10)</f>
        <v/>
      </c>
      <c r="E11" s="29">
        <f>SUM(Cloud_IS!E7,Cloud_IS!E8,Cloud_IS!E9,Cloud_IS!E10)</f>
        <v/>
      </c>
      <c r="F11" s="29">
        <f>SUM(Cloud_IS!F7,Cloud_IS!F8,Cloud_IS!F9,Cloud_IS!F10)</f>
        <v/>
      </c>
      <c r="G11" s="29">
        <f>SUM(Cloud_IS!G7,Cloud_IS!G8,Cloud_IS!G9,Cloud_IS!G10)</f>
        <v/>
      </c>
    </row>
    <row r="12">
      <c r="A12" s="3" t="inlineStr">
        <is>
          <t xml:space="preserve">    毛利润</t>
        </is>
      </c>
      <c r="C12" s="29">
        <f>Cloud_IS!C6-Cloud_IS!C11</f>
        <v/>
      </c>
      <c r="D12" s="29">
        <f>Cloud_IS!D6-Cloud_IS!D11</f>
        <v/>
      </c>
      <c r="E12" s="29">
        <f>Cloud_IS!E6-Cloud_IS!E11</f>
        <v/>
      </c>
      <c r="F12" s="29">
        <f>Cloud_IS!F6-Cloud_IS!F11</f>
        <v/>
      </c>
      <c r="G12" s="29">
        <f>Cloud_IS!G6-Cloud_IS!G11</f>
        <v/>
      </c>
    </row>
    <row r="13">
      <c r="A13" s="5" t="inlineStr">
        <is>
          <t xml:space="preserve">    研发费用</t>
        </is>
      </c>
      <c r="B13" s="2" t="inlineStr">
        <is>
          <t>编制×人均70万</t>
        </is>
      </c>
      <c r="C13" s="8">
        <f>Assumptions!C15*70</f>
        <v/>
      </c>
      <c r="D13" s="8">
        <f>Assumptions!D15*70</f>
        <v/>
      </c>
      <c r="E13" s="8">
        <f>Assumptions!E15*70</f>
        <v/>
      </c>
      <c r="F13" s="8">
        <f>Assumptions!F15*70</f>
        <v/>
      </c>
      <c r="G13" s="8">
        <f>Assumptions!G15*70</f>
        <v/>
      </c>
    </row>
    <row r="14">
      <c r="A14" s="5" t="inlineStr">
        <is>
          <t xml:space="preserve">    销售费用</t>
        </is>
      </c>
      <c r="B14" s="2" t="inlineStr">
        <is>
          <t>×60万</t>
        </is>
      </c>
      <c r="C14" s="8">
        <f>Assumptions!C16*60</f>
        <v/>
      </c>
      <c r="D14" s="8">
        <f>Assumptions!D16*60</f>
        <v/>
      </c>
      <c r="E14" s="8">
        <f>Assumptions!E16*60</f>
        <v/>
      </c>
      <c r="F14" s="8">
        <f>Assumptions!F16*60</f>
        <v/>
      </c>
      <c r="G14" s="8">
        <f>Assumptions!G16*60</f>
        <v/>
      </c>
    </row>
    <row r="15">
      <c r="A15" s="5" t="inlineStr">
        <is>
          <t xml:space="preserve">    管理费用</t>
        </is>
      </c>
      <c r="B15" s="2" t="inlineStr">
        <is>
          <t>×55万</t>
        </is>
      </c>
      <c r="C15" s="8">
        <f>Assumptions!C17*55</f>
        <v/>
      </c>
      <c r="D15" s="8">
        <f>Assumptions!D17*55</f>
        <v/>
      </c>
      <c r="E15" s="8">
        <f>Assumptions!E17*55</f>
        <v/>
      </c>
      <c r="F15" s="8">
        <f>Assumptions!F17*55</f>
        <v/>
      </c>
      <c r="G15" s="8">
        <f>Assumptions!G17*55</f>
        <v/>
      </c>
    </row>
    <row r="16">
      <c r="A16" s="3" t="inlineStr">
        <is>
          <t xml:space="preserve">    EBIT</t>
        </is>
      </c>
      <c r="C16" s="29">
        <f>Cloud_IS!C12-Cloud_IS!C13-Cloud_IS!C14-Cloud_IS!C15</f>
        <v/>
      </c>
      <c r="D16" s="29">
        <f>Cloud_IS!D12-Cloud_IS!D13-Cloud_IS!D14-Cloud_IS!D15</f>
        <v/>
      </c>
      <c r="E16" s="29">
        <f>Cloud_IS!E12-Cloud_IS!E13-Cloud_IS!E14-Cloud_IS!E15</f>
        <v/>
      </c>
      <c r="F16" s="29">
        <f>Cloud_IS!F12-Cloud_IS!F13-Cloud_IS!F14-Cloud_IS!F15</f>
        <v/>
      </c>
      <c r="G16" s="29">
        <f>Cloud_IS!G12-Cloud_IS!G13-Cloud_IS!G14-Cloud_IS!G15</f>
        <v/>
      </c>
    </row>
    <row r="17">
      <c r="A17" s="5" t="inlineStr">
        <is>
          <t xml:space="preserve">    所得税</t>
        </is>
      </c>
      <c r="C17" s="8">
        <f>MAX(0,Cloud_IS!C16)*Assumptions!C5</f>
        <v/>
      </c>
      <c r="D17" s="8">
        <f>MAX(0,Cloud_IS!D16)*Assumptions!D5</f>
        <v/>
      </c>
      <c r="E17" s="8">
        <f>MAX(0,Cloud_IS!E16)*Assumptions!E5</f>
        <v/>
      </c>
      <c r="F17" s="8">
        <f>MAX(0,Cloud_IS!F16)*Assumptions!F5</f>
        <v/>
      </c>
      <c r="G17" s="8">
        <f>MAX(0,Cloud_IS!G16)*Assumptions!G5</f>
        <v/>
      </c>
    </row>
    <row r="18">
      <c r="A18" s="3" t="inlineStr">
        <is>
          <t xml:space="preserve">    净利润</t>
        </is>
      </c>
      <c r="C18" s="29">
        <f>Cloud_IS!C16-Cloud_IS!C17</f>
        <v/>
      </c>
      <c r="D18" s="29">
        <f>Cloud_IS!D16-Cloud_IS!D17</f>
        <v/>
      </c>
      <c r="E18" s="29">
        <f>Cloud_IS!E16-Cloud_IS!E17</f>
        <v/>
      </c>
      <c r="F18" s="29">
        <f>Cloud_IS!F16-Cloud_IS!F17</f>
        <v/>
      </c>
      <c r="G18" s="29">
        <f>Cloud_IS!G16-Cloud_IS!G17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G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</cols>
  <sheetData>
    <row r="1">
      <c r="A1" s="15" t="inlineStr">
        <is>
          <t>智擎云 · 资产负债表+现金流量表</t>
        </is>
      </c>
    </row>
    <row r="2">
      <c r="A2" s="2" t="inlineStr">
        <is>
          <t>单体半厚 | BS在上 CF在下 | 万元</t>
        </is>
      </c>
    </row>
    <row r="3">
      <c r="A3" s="3" t="inlineStr">
        <is>
          <t>科目（万元）</t>
        </is>
      </c>
      <c r="B3" s="3" t="inlineStr">
        <is>
          <t>备注</t>
        </is>
      </c>
      <c r="C3" s="16" t="n">
        <v>2023</v>
      </c>
      <c r="D3" s="16" t="n">
        <v>2024</v>
      </c>
      <c r="E3" s="16" t="n">
        <v>2025</v>
      </c>
      <c r="F3" s="17" t="n">
        <v>2026</v>
      </c>
      <c r="G3" s="17" t="n">
        <v>2027</v>
      </c>
    </row>
    <row r="4">
      <c r="A4" s="18" t="inlineStr">
        <is>
          <t>── 资产负债表（关键科目）──</t>
        </is>
      </c>
    </row>
    <row r="5">
      <c r="A5" s="5" t="inlineStr">
        <is>
          <t xml:space="preserve">    应收账款</t>
        </is>
      </c>
      <c r="C5" s="8">
        <f>Cloud_IS!C4*Assumptions!C6/365</f>
        <v/>
      </c>
      <c r="D5" s="8">
        <f>Cloud_IS!D4*Assumptions!D6/365</f>
        <v/>
      </c>
      <c r="E5" s="8">
        <f>Cloud_IS!E4*Assumptions!E6/365</f>
        <v/>
      </c>
      <c r="F5" s="8">
        <f>Cloud_IS!F4*Assumptions!F6/365</f>
        <v/>
      </c>
      <c r="G5" s="8">
        <f>Cloud_IS!G4*Assumptions!G6/365</f>
        <v/>
      </c>
    </row>
    <row r="6">
      <c r="A6" s="5" t="inlineStr">
        <is>
          <t xml:space="preserve">    内部应收（互联 T3）</t>
        </is>
      </c>
      <c r="B6" s="2" t="inlineStr">
        <is>
          <t>2027 含 cut-off 未开票 −220</t>
        </is>
      </c>
      <c r="C6" s="8">
        <f>(Assumptions!C31*Assumptions!C35*12*Assumptions!C52)*Assumptions!C8/365</f>
        <v/>
      </c>
      <c r="D6" s="8">
        <f>(Assumptions!D31*Assumptions!D35*12*Assumptions!D52)*Assumptions!D8/365</f>
        <v/>
      </c>
      <c r="E6" s="8">
        <f>(Assumptions!E31*Assumptions!E35*12*Assumptions!E52)*Assumptions!E8/365</f>
        <v/>
      </c>
      <c r="F6" s="8">
        <f>(Assumptions!F31*Assumptions!F35*12*Assumptions!F52)*Assumptions!F8/365</f>
        <v/>
      </c>
      <c r="G6" s="8">
        <f>(Assumptions!G31*Assumptions!G35*12*Assumptions!G52)*Assumptions!G8/365-Assumptions!G54</f>
        <v/>
      </c>
    </row>
    <row r="7">
      <c r="A7" s="5" t="inlineStr">
        <is>
          <t xml:space="preserve">    固定资产 · 推理 GPU 净值</t>
        </is>
      </c>
      <c r="C7" s="8">
        <f>Capex_Dep!C25</f>
        <v/>
      </c>
      <c r="D7" s="8">
        <f>Capex_Dep!D25</f>
        <v/>
      </c>
      <c r="E7" s="8">
        <f>Capex_Dep!E25</f>
        <v/>
      </c>
      <c r="F7" s="8">
        <f>Capex_Dep!F25</f>
        <v/>
      </c>
      <c r="G7" s="8">
        <f>Capex_Dep!G25</f>
        <v/>
      </c>
    </row>
    <row r="8">
      <c r="A8" s="3" t="inlineStr">
        <is>
          <t>非现金资产合计</t>
        </is>
      </c>
      <c r="C8" s="29">
        <f>Cloud_BS_CF!C5+Cloud_BS_CF!C6+Cloud_BS_CF!C7</f>
        <v/>
      </c>
      <c r="D8" s="29">
        <f>Cloud_BS_CF!D5+Cloud_BS_CF!D6+Cloud_BS_CF!D7</f>
        <v/>
      </c>
      <c r="E8" s="29">
        <f>Cloud_BS_CF!E5+Cloud_BS_CF!E6+Cloud_BS_CF!E7</f>
        <v/>
      </c>
      <c r="F8" s="29">
        <f>Cloud_BS_CF!F5+Cloud_BS_CF!F6+Cloud_BS_CF!F7</f>
        <v/>
      </c>
      <c r="G8" s="29">
        <f>Cloud_BS_CF!G5+Cloud_BS_CF!G6+Cloud_BS_CF!G7</f>
        <v/>
      </c>
    </row>
    <row r="9">
      <c r="A9" s="5" t="inlineStr">
        <is>
          <t xml:space="preserve">    应付账款</t>
        </is>
      </c>
      <c r="C9" s="8">
        <f>(Cloud_IS!C11+Cloud_IS!C13+Cloud_IS!C14+Cloud_IS!C15-Capex_Dep!C24)*Assumptions!C7/365</f>
        <v/>
      </c>
      <c r="D9" s="8">
        <f>(Cloud_IS!D11+Cloud_IS!D13+Cloud_IS!D14+Cloud_IS!D15-Capex_Dep!D24)*Assumptions!D7/365</f>
        <v/>
      </c>
      <c r="E9" s="8">
        <f>(Cloud_IS!E11+Cloud_IS!E13+Cloud_IS!E14+Cloud_IS!E15-Capex_Dep!E24)*Assumptions!E7/365</f>
        <v/>
      </c>
      <c r="F9" s="8">
        <f>(Cloud_IS!F11+Cloud_IS!F13+Cloud_IS!F14+Cloud_IS!F15-Capex_Dep!F24)*Assumptions!F7/365</f>
        <v/>
      </c>
      <c r="G9" s="8">
        <f>(Cloud_IS!G11+Cloud_IS!G13+Cloud_IS!G14+Cloud_IS!G15-Capex_Dep!G24)*Assumptions!G7/365</f>
        <v/>
      </c>
    </row>
    <row r="10">
      <c r="A10" s="5" t="inlineStr">
        <is>
          <t xml:space="preserve">    内部应付（研究院 T1）</t>
        </is>
      </c>
      <c r="C10" s="8">
        <f>Cloud_IS!C10*Assumptions!C8/365</f>
        <v/>
      </c>
      <c r="D10" s="8">
        <f>Cloud_IS!D10*Assumptions!D8/365</f>
        <v/>
      </c>
      <c r="E10" s="8">
        <f>Cloud_IS!E10*Assumptions!E8/365</f>
        <v/>
      </c>
      <c r="F10" s="8">
        <f>Cloud_IS!F10*Assumptions!F8/365</f>
        <v/>
      </c>
      <c r="G10" s="8">
        <f>Cloud_IS!G10*Assumptions!G8/365</f>
        <v/>
      </c>
    </row>
    <row r="11">
      <c r="A11" s="5" t="inlineStr">
        <is>
          <t xml:space="preserve">    递延收益</t>
        </is>
      </c>
      <c r="C11" s="8">
        <f>Cloud_IS!C6*Assumptions!C77</f>
        <v/>
      </c>
      <c r="D11" s="8">
        <f>Cloud_IS!D6*Assumptions!D77</f>
        <v/>
      </c>
      <c r="E11" s="8">
        <f>Cloud_IS!E6*Assumptions!E77</f>
        <v/>
      </c>
      <c r="F11" s="8">
        <f>Cloud_IS!F6*Assumptions!F77</f>
        <v/>
      </c>
      <c r="G11" s="8">
        <f>Cloud_IS!G6*Assumptions!G77</f>
        <v/>
      </c>
    </row>
    <row r="12">
      <c r="A12" s="3" t="inlineStr">
        <is>
          <t>负债合计</t>
        </is>
      </c>
      <c r="C12" s="29">
        <f>Cloud_BS_CF!C9+Cloud_BS_CF!C10+Cloud_BS_CF!C11</f>
        <v/>
      </c>
      <c r="D12" s="29">
        <f>Cloud_BS_CF!D9+Cloud_BS_CF!D10+Cloud_BS_CF!D11</f>
        <v/>
      </c>
      <c r="E12" s="29">
        <f>Cloud_BS_CF!E9+Cloud_BS_CF!E10+Cloud_BS_CF!E11</f>
        <v/>
      </c>
      <c r="F12" s="29">
        <f>Cloud_BS_CF!F9+Cloud_BS_CF!F10+Cloud_BS_CF!F11</f>
        <v/>
      </c>
      <c r="G12" s="29">
        <f>Cloud_BS_CF!G9+Cloud_BS_CF!G10+Cloud_BS_CF!G11</f>
        <v/>
      </c>
    </row>
    <row r="13">
      <c r="A13" s="5" t="inlineStr">
        <is>
          <t xml:space="preserve">    实收资本</t>
        </is>
      </c>
      <c r="C13" s="8">
        <f>Assumptions!C69+Assumptions!C57</f>
        <v/>
      </c>
      <c r="D13" s="8">
        <f>C13+Assumptions!D57</f>
        <v/>
      </c>
      <c r="E13" s="8">
        <f>D13+Assumptions!E57</f>
        <v/>
      </c>
      <c r="F13" s="8">
        <f>E13+Assumptions!F57</f>
        <v/>
      </c>
      <c r="G13" s="8">
        <f>F13+Assumptions!G57</f>
        <v/>
      </c>
    </row>
    <row r="14">
      <c r="A14" s="5" t="inlineStr">
        <is>
          <t xml:space="preserve">    未分配利润</t>
        </is>
      </c>
      <c r="C14" s="8">
        <f>Assumptions!C68+Cloud_IS!C18</f>
        <v/>
      </c>
      <c r="D14" s="8">
        <f>C14+Cloud_IS!D18</f>
        <v/>
      </c>
      <c r="E14" s="8">
        <f>D14+Cloud_IS!E18</f>
        <v/>
      </c>
      <c r="F14" s="8">
        <f>E14+Cloud_IS!F18</f>
        <v/>
      </c>
      <c r="G14" s="8">
        <f>F14+Cloud_IS!G18</f>
        <v/>
      </c>
    </row>
    <row r="15">
      <c r="A15" s="32" t="inlineStr">
        <is>
          <t>货币资金（倒挤）</t>
        </is>
      </c>
      <c r="C15" s="33">
        <f>Cloud_BS_CF!C12+Cloud_BS_CF!C13+Cloud_BS_CF!C14-Cloud_BS_CF!C8</f>
        <v/>
      </c>
      <c r="D15" s="33">
        <f>Cloud_BS_CF!D12+Cloud_BS_CF!D13+Cloud_BS_CF!D14-Cloud_BS_CF!D8</f>
        <v/>
      </c>
      <c r="E15" s="33">
        <f>Cloud_BS_CF!E12+Cloud_BS_CF!E13+Cloud_BS_CF!E14-Cloud_BS_CF!E8</f>
        <v/>
      </c>
      <c r="F15" s="33">
        <f>Cloud_BS_CF!F12+Cloud_BS_CF!F13+Cloud_BS_CF!F14-Cloud_BS_CF!F8</f>
        <v/>
      </c>
      <c r="G15" s="33">
        <f>Cloud_BS_CF!G12+Cloud_BS_CF!G13+Cloud_BS_CF!G14-Cloud_BS_CF!G8</f>
        <v/>
      </c>
    </row>
    <row r="16">
      <c r="A16" s="18" t="inlineStr">
        <is>
          <t>── 现金流量表（间接法）──</t>
        </is>
      </c>
    </row>
    <row r="17">
      <c r="A17" s="5" t="inlineStr">
        <is>
          <t xml:space="preserve">    净利润</t>
        </is>
      </c>
      <c r="C17" s="8">
        <f>Cloud_IS!C18</f>
        <v/>
      </c>
      <c r="D17" s="8">
        <f>Cloud_IS!D18</f>
        <v/>
      </c>
      <c r="E17" s="8">
        <f>Cloud_IS!E18</f>
        <v/>
      </c>
      <c r="F17" s="8">
        <f>Cloud_IS!F18</f>
        <v/>
      </c>
      <c r="G17" s="8">
        <f>Cloud_IS!G18</f>
        <v/>
      </c>
    </row>
    <row r="18">
      <c r="A18" s="5" t="inlineStr">
        <is>
          <t xml:space="preserve">    加：折旧</t>
        </is>
      </c>
      <c r="C18" s="8">
        <f>Capex_Dep!C24</f>
        <v/>
      </c>
      <c r="D18" s="8">
        <f>Capex_Dep!D24</f>
        <v/>
      </c>
      <c r="E18" s="8">
        <f>Capex_Dep!E24</f>
        <v/>
      </c>
      <c r="F18" s="8">
        <f>Capex_Dep!F24</f>
        <v/>
      </c>
      <c r="G18" s="8">
        <f>Capex_Dep!G24</f>
        <v/>
      </c>
    </row>
    <row r="19">
      <c r="A19" s="5" t="inlineStr">
        <is>
          <t xml:space="preserve">    减：应收增加</t>
        </is>
      </c>
      <c r="C19" s="8">
        <f>-(Cloud_BS_CF!C5-(0))</f>
        <v/>
      </c>
      <c r="D19" s="8">
        <f>-(Cloud_BS_CF!D5-(Cloud_BS_CF!C5))</f>
        <v/>
      </c>
      <c r="E19" s="8">
        <f>-(Cloud_BS_CF!E5-(Cloud_BS_CF!D5))</f>
        <v/>
      </c>
      <c r="F19" s="8">
        <f>-(Cloud_BS_CF!F5-(Cloud_BS_CF!E5))</f>
        <v/>
      </c>
      <c r="G19" s="8">
        <f>-(Cloud_BS_CF!G5-(Cloud_BS_CF!F5))</f>
        <v/>
      </c>
    </row>
    <row r="20">
      <c r="A20" s="5" t="inlineStr">
        <is>
          <t xml:space="preserve">    内部往来净变动</t>
        </is>
      </c>
      <c r="C20" s="8">
        <f>(Cloud_BS_CF!C10-(0))-(Cloud_BS_CF!C6-(0))</f>
        <v/>
      </c>
      <c r="D20" s="8">
        <f>(Cloud_BS_CF!D10-(Cloud_BS_CF!C10))-(Cloud_BS_CF!D6-(Cloud_BS_CF!C6))</f>
        <v/>
      </c>
      <c r="E20" s="8">
        <f>(Cloud_BS_CF!E10-(Cloud_BS_CF!D10))-(Cloud_BS_CF!E6-(Cloud_BS_CF!D6))</f>
        <v/>
      </c>
      <c r="F20" s="8">
        <f>(Cloud_BS_CF!F10-(Cloud_BS_CF!E10))-(Cloud_BS_CF!F6-(Cloud_BS_CF!E6))</f>
        <v/>
      </c>
      <c r="G20" s="8">
        <f>(Cloud_BS_CF!G10-(Cloud_BS_CF!F10))-(Cloud_BS_CF!G6-(Cloud_BS_CF!F6))</f>
        <v/>
      </c>
    </row>
    <row r="21">
      <c r="A21" s="5" t="inlineStr">
        <is>
          <t xml:space="preserve">    加：递延增加</t>
        </is>
      </c>
      <c r="C21" s="8">
        <f>Cloud_BS_CF!C11-(0)</f>
        <v/>
      </c>
      <c r="D21" s="8">
        <f>Cloud_BS_CF!D11-(Cloud_BS_CF!C11)</f>
        <v/>
      </c>
      <c r="E21" s="8">
        <f>Cloud_BS_CF!E11-(Cloud_BS_CF!D11)</f>
        <v/>
      </c>
      <c r="F21" s="8">
        <f>Cloud_BS_CF!F11-(Cloud_BS_CF!E11)</f>
        <v/>
      </c>
      <c r="G21" s="8">
        <f>Cloud_BS_CF!G11-(Cloud_BS_CF!F11)</f>
        <v/>
      </c>
    </row>
    <row r="22">
      <c r="A22" s="5" t="inlineStr">
        <is>
          <t xml:space="preserve">    加：应付增加</t>
        </is>
      </c>
      <c r="C22" s="8">
        <f>Cloud_BS_CF!C9-(0)</f>
        <v/>
      </c>
      <c r="D22" s="8">
        <f>Cloud_BS_CF!D9-(Cloud_BS_CF!C9)</f>
        <v/>
      </c>
      <c r="E22" s="8">
        <f>Cloud_BS_CF!E9-(Cloud_BS_CF!D9)</f>
        <v/>
      </c>
      <c r="F22" s="8">
        <f>Cloud_BS_CF!F9-(Cloud_BS_CF!E9)</f>
        <v/>
      </c>
      <c r="G22" s="8">
        <f>Cloud_BS_CF!G9-(Cloud_BS_CF!F9)</f>
        <v/>
      </c>
    </row>
    <row r="23">
      <c r="A23" s="3" t="inlineStr">
        <is>
          <t xml:space="preserve">    经营现金流</t>
        </is>
      </c>
      <c r="C23" s="29">
        <f>Cloud_BS_CF!C17+Cloud_BS_CF!C18+Cloud_BS_CF!C19+Cloud_BS_CF!C20+Cloud_BS_CF!C21+Cloud_BS_CF!C22</f>
        <v/>
      </c>
      <c r="D23" s="29">
        <f>Cloud_BS_CF!D17+Cloud_BS_CF!D18+Cloud_BS_CF!D19+Cloud_BS_CF!D20+Cloud_BS_CF!D21+Cloud_BS_CF!D22</f>
        <v/>
      </c>
      <c r="E23" s="29">
        <f>Cloud_BS_CF!E17+Cloud_BS_CF!E18+Cloud_BS_CF!E19+Cloud_BS_CF!E20+Cloud_BS_CF!E21+Cloud_BS_CF!E22</f>
        <v/>
      </c>
      <c r="F23" s="29">
        <f>Cloud_BS_CF!F17+Cloud_BS_CF!F18+Cloud_BS_CF!F19+Cloud_BS_CF!F20+Cloud_BS_CF!F21+Cloud_BS_CF!F22</f>
        <v/>
      </c>
      <c r="G23" s="29">
        <f>Cloud_BS_CF!G17+Cloud_BS_CF!G18+Cloud_BS_CF!G19+Cloud_BS_CF!G20+Cloud_BS_CF!G21+Cloud_BS_CF!G22</f>
        <v/>
      </c>
    </row>
    <row r="24">
      <c r="A24" s="5" t="inlineStr">
        <is>
          <t xml:space="preserve">    投资现金流</t>
        </is>
      </c>
      <c r="C24" s="8">
        <f>-Capex_Dep!C6</f>
        <v/>
      </c>
      <c r="D24" s="8">
        <f>-Capex_Dep!D6</f>
        <v/>
      </c>
      <c r="E24" s="8">
        <f>-Capex_Dep!E6</f>
        <v/>
      </c>
      <c r="F24" s="8">
        <f>-Capex_Dep!F6</f>
        <v/>
      </c>
      <c r="G24" s="8">
        <f>-Capex_Dep!G6</f>
        <v/>
      </c>
    </row>
    <row r="25">
      <c r="A25" s="5" t="inlineStr">
        <is>
          <t xml:space="preserve">    筹资：股权注资</t>
        </is>
      </c>
      <c r="C25" s="8">
        <f>Assumptions!C57</f>
        <v/>
      </c>
      <c r="D25" s="8">
        <f>Assumptions!D57</f>
        <v/>
      </c>
      <c r="E25" s="8">
        <f>Assumptions!E57</f>
        <v/>
      </c>
      <c r="F25" s="8">
        <f>Assumptions!F57</f>
        <v/>
      </c>
      <c r="G25" s="8">
        <f>Assumptions!G57</f>
        <v/>
      </c>
    </row>
    <row r="26">
      <c r="A26" s="3" t="inlineStr">
        <is>
          <t xml:space="preserve">    现金净变动</t>
        </is>
      </c>
      <c r="C26" s="29">
        <f>Cloud_BS_CF!C23+Cloud_BS_CF!C24+Cloud_BS_CF!C25</f>
        <v/>
      </c>
      <c r="D26" s="29">
        <f>Cloud_BS_CF!D23+Cloud_BS_CF!D24+Cloud_BS_CF!D25</f>
        <v/>
      </c>
      <c r="E26" s="29">
        <f>Cloud_BS_CF!E23+Cloud_BS_CF!E24+Cloud_BS_CF!E25</f>
        <v/>
      </c>
      <c r="F26" s="29">
        <f>Cloud_BS_CF!F23+Cloud_BS_CF!F24+Cloud_BS_CF!F25</f>
        <v/>
      </c>
      <c r="G26" s="29">
        <f>Cloud_BS_CF!G23+Cloud_BS_CF!G24+Cloud_BS_CF!G25</f>
        <v/>
      </c>
    </row>
    <row r="27">
      <c r="A27" s="3" t="inlineStr">
        <is>
          <t xml:space="preserve">    期末现金（CF）</t>
        </is>
      </c>
      <c r="C27" s="29">
        <f>10000+Cloud_BS_CF!C26</f>
        <v/>
      </c>
      <c r="D27" s="29">
        <f>C27+Cloud_BS_CF!D26</f>
        <v/>
      </c>
      <c r="E27" s="29">
        <f>D27+Cloud_BS_CF!E26</f>
        <v/>
      </c>
      <c r="F27" s="29">
        <f>E27+Cloud_BS_CF!F26</f>
        <v/>
      </c>
      <c r="G27" s="29">
        <f>F27+Cloud_BS_CF!G26</f>
        <v/>
      </c>
    </row>
    <row r="28">
      <c r="A28" s="3" t="inlineStr">
        <is>
          <t>★ CF=BS 差异（应全 0）</t>
        </is>
      </c>
      <c r="C28" s="30" t="n"/>
      <c r="D28" s="30" t="n"/>
      <c r="E28" s="30" t="n"/>
      <c r="F28" s="30" t="n"/>
      <c r="G28" s="30" t="n"/>
    </row>
    <row r="29">
      <c r="A29" s="5" t="inlineStr">
        <is>
          <t xml:space="preserve">  CF推导 − BS倒挤</t>
        </is>
      </c>
      <c r="C29" s="34">
        <f>Cloud_BS_CF!C27-Cloud_BS_CF!C15</f>
        <v/>
      </c>
      <c r="D29" s="34">
        <f>Cloud_BS_CF!D27-Cloud_BS_CF!D15</f>
        <v/>
      </c>
      <c r="E29" s="34">
        <f>Cloud_BS_CF!E27-Cloud_BS_CF!E15</f>
        <v/>
      </c>
      <c r="F29" s="34">
        <f>Cloud_BS_CF!F27-Cloud_BS_CF!F15</f>
        <v/>
      </c>
      <c r="G29" s="34">
        <f>Cloud_BS_CF!G27-Cloud_BS_CF!G15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G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</cols>
  <sheetData>
    <row r="1">
      <c r="A1" s="15" t="inlineStr">
        <is>
          <t>智擎行业 · 利润表</t>
        </is>
      </c>
    </row>
    <row r="2">
      <c r="A2" s="2" t="inlineStr">
        <is>
          <t>单体 | 私有化部署 + 行业解决方案 双业务线 | 万元</t>
        </is>
      </c>
    </row>
    <row r="3">
      <c r="A3" s="3" t="inlineStr">
        <is>
          <t>科目（万元）</t>
        </is>
      </c>
      <c r="B3" s="3" t="inlineStr">
        <is>
          <t>备注</t>
        </is>
      </c>
      <c r="C3" s="16" t="n">
        <v>2023</v>
      </c>
      <c r="D3" s="16" t="n">
        <v>2024</v>
      </c>
      <c r="E3" s="16" t="n">
        <v>2025</v>
      </c>
      <c r="F3" s="17" t="n">
        <v>2026</v>
      </c>
      <c r="G3" s="17" t="n">
        <v>2027</v>
      </c>
    </row>
    <row r="4">
      <c r="A4" s="5" t="inlineStr">
        <is>
          <t xml:space="preserve">    收入 · 私有化部署</t>
        </is>
      </c>
      <c r="B4" s="2" t="inlineStr">
        <is>
          <t>项目数×合同额</t>
        </is>
      </c>
      <c r="C4" s="8">
        <f>Assumptions!C21*Assumptions!C22</f>
        <v/>
      </c>
      <c r="D4" s="8">
        <f>Assumptions!D21*Assumptions!D22</f>
        <v/>
      </c>
      <c r="E4" s="8">
        <f>Assumptions!E21*Assumptions!E22</f>
        <v/>
      </c>
      <c r="F4" s="8">
        <f>Assumptions!F21*Assumptions!F22</f>
        <v/>
      </c>
      <c r="G4" s="8">
        <f>Assumptions!G21*Assumptions!G22</f>
        <v/>
      </c>
    </row>
    <row r="5">
      <c r="A5" s="5" t="inlineStr">
        <is>
          <t xml:space="preserve">    收入 · 行业解决方案</t>
        </is>
      </c>
      <c r="B5" s="2" t="inlineStr">
        <is>
          <t>签约客户×年费</t>
        </is>
      </c>
      <c r="C5" s="8">
        <f>Assumptions!C23*Assumptions!C24</f>
        <v/>
      </c>
      <c r="D5" s="8">
        <f>Assumptions!D23*Assumptions!D24</f>
        <v/>
      </c>
      <c r="E5" s="8">
        <f>Assumptions!E23*Assumptions!E24</f>
        <v/>
      </c>
      <c r="F5" s="8">
        <f>Assumptions!F23*Assumptions!F24</f>
        <v/>
      </c>
      <c r="G5" s="8">
        <f>Assumptions!G23*Assumptions!G24</f>
        <v/>
      </c>
    </row>
    <row r="6">
      <c r="A6" s="3" t="inlineStr">
        <is>
          <t xml:space="preserve">    对外收入合计</t>
        </is>
      </c>
      <c r="C6" s="29">
        <f>Ind_IS!C4+Ind_IS!C5</f>
        <v/>
      </c>
      <c r="D6" s="29">
        <f>Ind_IS!D4+Ind_IS!D5</f>
        <v/>
      </c>
      <c r="E6" s="29">
        <f>Ind_IS!E4+Ind_IS!E5</f>
        <v/>
      </c>
      <c r="F6" s="29">
        <f>Ind_IS!F4+Ind_IS!F5</f>
        <v/>
      </c>
      <c r="G6" s="29">
        <f>Ind_IS!G4+Ind_IS!G5</f>
        <v/>
      </c>
    </row>
    <row r="7">
      <c r="A7" s="5" t="inlineStr">
        <is>
          <t xml:space="preserve">    成本 · 私有化（硬件+人力）</t>
        </is>
      </c>
      <c r="C7" s="8">
        <f>Ind_IS!C4*Assumptions!C25</f>
        <v/>
      </c>
      <c r="D7" s="8">
        <f>Ind_IS!D4*Assumptions!D25</f>
        <v/>
      </c>
      <c r="E7" s="8">
        <f>Ind_IS!E4*Assumptions!E25</f>
        <v/>
      </c>
      <c r="F7" s="8">
        <f>Ind_IS!F4*Assumptions!F25</f>
        <v/>
      </c>
      <c r="G7" s="8">
        <f>Ind_IS!G4*Assumptions!G25</f>
        <v/>
      </c>
    </row>
    <row r="8">
      <c r="A8" s="5" t="inlineStr">
        <is>
          <t xml:space="preserve">    成本 · 解决方案</t>
        </is>
      </c>
      <c r="C8" s="8">
        <f>Ind_IS!C5*Assumptions!C26</f>
        <v/>
      </c>
      <c r="D8" s="8">
        <f>Ind_IS!D5*Assumptions!D26</f>
        <v/>
      </c>
      <c r="E8" s="8">
        <f>Ind_IS!E5*Assumptions!E26</f>
        <v/>
      </c>
      <c r="F8" s="8">
        <f>Ind_IS!F5*Assumptions!F26</f>
        <v/>
      </c>
      <c r="G8" s="8">
        <f>Ind_IS!G5*Assumptions!G26</f>
        <v/>
      </c>
    </row>
    <row r="9">
      <c r="A9" s="5" t="inlineStr">
        <is>
          <t xml:space="preserve">    成本 · T1 license 费</t>
        </is>
      </c>
      <c r="C9" s="8">
        <f>Ind_IS!C6*Assumptions!C49</f>
        <v/>
      </c>
      <c r="D9" s="8">
        <f>Ind_IS!D6*Assumptions!D49</f>
        <v/>
      </c>
      <c r="E9" s="8">
        <f>Ind_IS!E6*Assumptions!E49</f>
        <v/>
      </c>
      <c r="F9" s="8">
        <f>Ind_IS!F6*Assumptions!F49</f>
        <v/>
      </c>
      <c r="G9" s="8">
        <f>Ind_IS!G6*Assumptions!G49</f>
        <v/>
      </c>
    </row>
    <row r="10">
      <c r="A10" s="5" t="inlineStr">
        <is>
          <t xml:space="preserve">    成本 · T2 定制研发</t>
        </is>
      </c>
      <c r="C10" s="8">
        <f>Assumptions!C51</f>
        <v/>
      </c>
      <c r="D10" s="8">
        <f>Assumptions!D51</f>
        <v/>
      </c>
      <c r="E10" s="8">
        <f>Assumptions!E51</f>
        <v/>
      </c>
      <c r="F10" s="8">
        <f>Assumptions!F51</f>
        <v/>
      </c>
      <c r="G10" s="8">
        <f>Assumptions!G51</f>
        <v/>
      </c>
    </row>
    <row r="11">
      <c r="A11" s="3" t="inlineStr">
        <is>
          <t xml:space="preserve">    营业成本合计</t>
        </is>
      </c>
      <c r="C11" s="29">
        <f>SUM(Ind_IS!C7,Ind_IS!C8,Ind_IS!C9,Ind_IS!C10)</f>
        <v/>
      </c>
      <c r="D11" s="29">
        <f>SUM(Ind_IS!D7,Ind_IS!D8,Ind_IS!D9,Ind_IS!D10)</f>
        <v/>
      </c>
      <c r="E11" s="29">
        <f>SUM(Ind_IS!E7,Ind_IS!E8,Ind_IS!E9,Ind_IS!E10)</f>
        <v/>
      </c>
      <c r="F11" s="29">
        <f>SUM(Ind_IS!F7,Ind_IS!F8,Ind_IS!F9,Ind_IS!F10)</f>
        <v/>
      </c>
      <c r="G11" s="29">
        <f>SUM(Ind_IS!G7,Ind_IS!G8,Ind_IS!G9,Ind_IS!G10)</f>
        <v/>
      </c>
    </row>
    <row r="12">
      <c r="A12" s="3" t="inlineStr">
        <is>
          <t xml:space="preserve">    毛利润</t>
        </is>
      </c>
      <c r="C12" s="29">
        <f>Ind_IS!C6-Ind_IS!C11</f>
        <v/>
      </c>
      <c r="D12" s="29">
        <f>Ind_IS!D6-Ind_IS!D11</f>
        <v/>
      </c>
      <c r="E12" s="29">
        <f>Ind_IS!E6-Ind_IS!E11</f>
        <v/>
      </c>
      <c r="F12" s="29">
        <f>Ind_IS!F6-Ind_IS!F11</f>
        <v/>
      </c>
      <c r="G12" s="29">
        <f>Ind_IS!G6-Ind_IS!G11</f>
        <v/>
      </c>
    </row>
    <row r="13">
      <c r="A13" s="5" t="inlineStr">
        <is>
          <t xml:space="preserve">    研发费用</t>
        </is>
      </c>
      <c r="B13" s="2" t="inlineStr">
        <is>
          <t>×70万</t>
        </is>
      </c>
      <c r="C13" s="8">
        <f>Assumptions!C27*70</f>
        <v/>
      </c>
      <c r="D13" s="8">
        <f>Assumptions!D27*70</f>
        <v/>
      </c>
      <c r="E13" s="8">
        <f>Assumptions!E27*70</f>
        <v/>
      </c>
      <c r="F13" s="8">
        <f>Assumptions!F27*70</f>
        <v/>
      </c>
      <c r="G13" s="8">
        <f>Assumptions!G27*70</f>
        <v/>
      </c>
    </row>
    <row r="14">
      <c r="A14" s="5" t="inlineStr">
        <is>
          <t xml:space="preserve">    销售费用</t>
        </is>
      </c>
      <c r="B14" s="2" t="inlineStr">
        <is>
          <t>×60万</t>
        </is>
      </c>
      <c r="C14" s="8">
        <f>Assumptions!C28*60</f>
        <v/>
      </c>
      <c r="D14" s="8">
        <f>Assumptions!D28*60</f>
        <v/>
      </c>
      <c r="E14" s="8">
        <f>Assumptions!E28*60</f>
        <v/>
      </c>
      <c r="F14" s="8">
        <f>Assumptions!F28*60</f>
        <v/>
      </c>
      <c r="G14" s="8">
        <f>Assumptions!G28*60</f>
        <v/>
      </c>
    </row>
    <row r="15">
      <c r="A15" s="5" t="inlineStr">
        <is>
          <t xml:space="preserve">    管理费用</t>
        </is>
      </c>
      <c r="B15" s="2" t="inlineStr">
        <is>
          <t>×55万</t>
        </is>
      </c>
      <c r="C15" s="8">
        <f>Assumptions!C29*55</f>
        <v/>
      </c>
      <c r="D15" s="8">
        <f>Assumptions!D29*55</f>
        <v/>
      </c>
      <c r="E15" s="8">
        <f>Assumptions!E29*55</f>
        <v/>
      </c>
      <c r="F15" s="8">
        <f>Assumptions!F29*55</f>
        <v/>
      </c>
      <c r="G15" s="8">
        <f>Assumptions!G29*55</f>
        <v/>
      </c>
    </row>
    <row r="16">
      <c r="A16" s="3" t="inlineStr">
        <is>
          <t xml:space="preserve">    EBIT</t>
        </is>
      </c>
      <c r="C16" s="29">
        <f>Ind_IS!C12-Ind_IS!C13-Ind_IS!C14-Ind_IS!C15</f>
        <v/>
      </c>
      <c r="D16" s="29">
        <f>Ind_IS!D12-Ind_IS!D13-Ind_IS!D14-Ind_IS!D15</f>
        <v/>
      </c>
      <c r="E16" s="29">
        <f>Ind_IS!E12-Ind_IS!E13-Ind_IS!E14-Ind_IS!E15</f>
        <v/>
      </c>
      <c r="F16" s="29">
        <f>Ind_IS!F12-Ind_IS!F13-Ind_IS!F14-Ind_IS!F15</f>
        <v/>
      </c>
      <c r="G16" s="29">
        <f>Ind_IS!G12-Ind_IS!G13-Ind_IS!G14-Ind_IS!G15</f>
        <v/>
      </c>
    </row>
    <row r="17">
      <c r="A17" s="5" t="inlineStr">
        <is>
          <t xml:space="preserve">    所得税</t>
        </is>
      </c>
      <c r="C17" s="8">
        <f>MAX(0,Ind_IS!C16)*Assumptions!C5</f>
        <v/>
      </c>
      <c r="D17" s="8">
        <f>MAX(0,Ind_IS!D16)*Assumptions!D5</f>
        <v/>
      </c>
      <c r="E17" s="8">
        <f>MAX(0,Ind_IS!E16)*Assumptions!E5</f>
        <v/>
      </c>
      <c r="F17" s="8">
        <f>MAX(0,Ind_IS!F16)*Assumptions!F5</f>
        <v/>
      </c>
      <c r="G17" s="8">
        <f>MAX(0,Ind_IS!G16)*Assumptions!G5</f>
        <v/>
      </c>
    </row>
    <row r="18">
      <c r="A18" s="3" t="inlineStr">
        <is>
          <t xml:space="preserve">    净利润</t>
        </is>
      </c>
      <c r="C18" s="29">
        <f>Ind_IS!C16-Ind_IS!C17</f>
        <v/>
      </c>
      <c r="D18" s="29">
        <f>Ind_IS!D16-Ind_IS!D17</f>
        <v/>
      </c>
      <c r="E18" s="29">
        <f>Ind_IS!E16-Ind_IS!E17</f>
        <v/>
      </c>
      <c r="F18" s="29">
        <f>Ind_IS!F16-Ind_IS!F17</f>
        <v/>
      </c>
      <c r="G18" s="29">
        <f>Ind_IS!G16-Ind_IS!G17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G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</cols>
  <sheetData>
    <row r="1">
      <c r="A1" s="15" t="inlineStr">
        <is>
          <t>智擎行业 · 资产负债表+现金流量表</t>
        </is>
      </c>
    </row>
    <row r="2">
      <c r="A2" s="2" t="inlineStr">
        <is>
          <t>单体半厚 | 无 GPU 资产 | 万元</t>
        </is>
      </c>
    </row>
    <row r="3">
      <c r="A3" s="3" t="inlineStr">
        <is>
          <t>科目（万元）</t>
        </is>
      </c>
      <c r="B3" s="3" t="inlineStr">
        <is>
          <t>备注</t>
        </is>
      </c>
      <c r="C3" s="16" t="n">
        <v>2023</v>
      </c>
      <c r="D3" s="16" t="n">
        <v>2024</v>
      </c>
      <c r="E3" s="16" t="n">
        <v>2025</v>
      </c>
      <c r="F3" s="17" t="n">
        <v>2026</v>
      </c>
      <c r="G3" s="17" t="n">
        <v>2027</v>
      </c>
    </row>
    <row r="4">
      <c r="A4" s="18" t="inlineStr">
        <is>
          <t>── 资产负债表（关键科目）──</t>
        </is>
      </c>
    </row>
    <row r="5">
      <c r="A5" s="5" t="inlineStr">
        <is>
          <t xml:space="preserve">    应收账款</t>
        </is>
      </c>
      <c r="C5" s="8">
        <f>Ind_IS!C6*Assumptions!C6/365</f>
        <v/>
      </c>
      <c r="D5" s="8">
        <f>Ind_IS!D6*Assumptions!D6/365</f>
        <v/>
      </c>
      <c r="E5" s="8">
        <f>Ind_IS!E6*Assumptions!E6/365</f>
        <v/>
      </c>
      <c r="F5" s="8">
        <f>Ind_IS!F6*Assumptions!F6/365</f>
        <v/>
      </c>
      <c r="G5" s="8">
        <f>Ind_IS!G6*Assumptions!G6/365</f>
        <v/>
      </c>
    </row>
    <row r="6">
      <c r="A6" s="5" t="inlineStr">
        <is>
          <t xml:space="preserve">    内部应付（T1+T2）</t>
        </is>
      </c>
      <c r="C6" s="8">
        <f>(Ind_IS!C9+Ind_IS!C10)*Assumptions!C8/365</f>
        <v/>
      </c>
      <c r="D6" s="8">
        <f>(Ind_IS!D9+Ind_IS!D10)*Assumptions!D8/365</f>
        <v/>
      </c>
      <c r="E6" s="8">
        <f>(Ind_IS!E9+Ind_IS!E10)*Assumptions!E8/365</f>
        <v/>
      </c>
      <c r="F6" s="8">
        <f>(Ind_IS!F9+Ind_IS!F10)*Assumptions!F8/365</f>
        <v/>
      </c>
      <c r="G6" s="8">
        <f>(Ind_IS!G9+Ind_IS!G10)*Assumptions!G8/365</f>
        <v/>
      </c>
    </row>
    <row r="7">
      <c r="A7" s="5" t="inlineStr">
        <is>
          <t xml:space="preserve">    应付账款</t>
        </is>
      </c>
      <c r="B7" s="2" t="inlineStr">
        <is>
          <t>无折旧</t>
        </is>
      </c>
      <c r="C7" s="8">
        <f>(Ind_IS!C11+Ind_IS!C13+Ind_IS!C14+Ind_IS!C15)*Assumptions!C7/365</f>
        <v/>
      </c>
      <c r="D7" s="8">
        <f>(Ind_IS!D11+Ind_IS!D13+Ind_IS!D14+Ind_IS!D15)*Assumptions!D7/365</f>
        <v/>
      </c>
      <c r="E7" s="8">
        <f>(Ind_IS!E11+Ind_IS!E13+Ind_IS!E14+Ind_IS!E15)*Assumptions!E7/365</f>
        <v/>
      </c>
      <c r="F7" s="8">
        <f>(Ind_IS!F11+Ind_IS!F13+Ind_IS!F14+Ind_IS!F15)*Assumptions!F7/365</f>
        <v/>
      </c>
      <c r="G7" s="8">
        <f>(Ind_IS!G11+Ind_IS!G13+Ind_IS!G14+Ind_IS!G15)*Assumptions!G7/365</f>
        <v/>
      </c>
    </row>
    <row r="8">
      <c r="A8" s="5" t="inlineStr">
        <is>
          <t xml:space="preserve">    递延收益</t>
        </is>
      </c>
      <c r="C8" s="8">
        <f>Ind_IS!C6*Assumptions!C78</f>
        <v/>
      </c>
      <c r="D8" s="8">
        <f>Ind_IS!D6*Assumptions!D78</f>
        <v/>
      </c>
      <c r="E8" s="8">
        <f>Ind_IS!E6*Assumptions!E78</f>
        <v/>
      </c>
      <c r="F8" s="8">
        <f>Ind_IS!F6*Assumptions!F78</f>
        <v/>
      </c>
      <c r="G8" s="8">
        <f>Ind_IS!G6*Assumptions!G78</f>
        <v/>
      </c>
    </row>
    <row r="9">
      <c r="A9" s="3" t="inlineStr">
        <is>
          <t>负债合计</t>
        </is>
      </c>
      <c r="C9" s="29">
        <f>Ind_BS_CF!C7+Ind_BS_CF!C6+Ind_BS_CF!C8</f>
        <v/>
      </c>
      <c r="D9" s="29">
        <f>Ind_BS_CF!D7+Ind_BS_CF!D6+Ind_BS_CF!D8</f>
        <v/>
      </c>
      <c r="E9" s="29">
        <f>Ind_BS_CF!E7+Ind_BS_CF!E6+Ind_BS_CF!E8</f>
        <v/>
      </c>
      <c r="F9" s="29">
        <f>Ind_BS_CF!F7+Ind_BS_CF!F6+Ind_BS_CF!F8</f>
        <v/>
      </c>
      <c r="G9" s="29">
        <f>Ind_BS_CF!G7+Ind_BS_CF!G6+Ind_BS_CF!G8</f>
        <v/>
      </c>
    </row>
    <row r="10">
      <c r="A10" s="5" t="inlineStr">
        <is>
          <t xml:space="preserve">    实收资本</t>
        </is>
      </c>
      <c r="C10" s="8">
        <f>Assumptions!C71+Assumptions!C58</f>
        <v/>
      </c>
      <c r="D10" s="8">
        <f>C10+Assumptions!D58</f>
        <v/>
      </c>
      <c r="E10" s="8">
        <f>D10+Assumptions!E58</f>
        <v/>
      </c>
      <c r="F10" s="8">
        <f>E10+Assumptions!F58</f>
        <v/>
      </c>
      <c r="G10" s="8">
        <f>F10+Assumptions!G58</f>
        <v/>
      </c>
    </row>
    <row r="11">
      <c r="A11" s="5" t="inlineStr">
        <is>
          <t xml:space="preserve">    未分配利润</t>
        </is>
      </c>
      <c r="C11" s="8">
        <f>Assumptions!C70+Ind_IS!C18</f>
        <v/>
      </c>
      <c r="D11" s="8">
        <f>C11+Ind_IS!D18</f>
        <v/>
      </c>
      <c r="E11" s="8">
        <f>D11+Ind_IS!E18</f>
        <v/>
      </c>
      <c r="F11" s="8">
        <f>E11+Ind_IS!F18</f>
        <v/>
      </c>
      <c r="G11" s="8">
        <f>F11+Ind_IS!G18</f>
        <v/>
      </c>
    </row>
    <row r="12">
      <c r="A12" s="32" t="inlineStr">
        <is>
          <t>货币资金（倒挤）</t>
        </is>
      </c>
      <c r="C12" s="33">
        <f>Ind_BS_CF!C9+Ind_BS_CF!C10+Ind_BS_CF!C11-Ind_BS_CF!C5</f>
        <v/>
      </c>
      <c r="D12" s="33">
        <f>Ind_BS_CF!D9+Ind_BS_CF!D10+Ind_BS_CF!D11-Ind_BS_CF!D5</f>
        <v/>
      </c>
      <c r="E12" s="33">
        <f>Ind_BS_CF!E9+Ind_BS_CF!E10+Ind_BS_CF!E11-Ind_BS_CF!E5</f>
        <v/>
      </c>
      <c r="F12" s="33">
        <f>Ind_BS_CF!F9+Ind_BS_CF!F10+Ind_BS_CF!F11-Ind_BS_CF!F5</f>
        <v/>
      </c>
      <c r="G12" s="33">
        <f>Ind_BS_CF!G9+Ind_BS_CF!G10+Ind_BS_CF!G11-Ind_BS_CF!G5</f>
        <v/>
      </c>
    </row>
    <row r="13">
      <c r="A13" s="18" t="inlineStr">
        <is>
          <t>── 现金流量表（间接法）──</t>
        </is>
      </c>
    </row>
    <row r="14">
      <c r="A14" s="5" t="inlineStr">
        <is>
          <t xml:space="preserve">    净利润</t>
        </is>
      </c>
      <c r="C14" s="8">
        <f>Ind_IS!C18</f>
        <v/>
      </c>
      <c r="D14" s="8">
        <f>Ind_IS!D18</f>
        <v/>
      </c>
      <c r="E14" s="8">
        <f>Ind_IS!E18</f>
        <v/>
      </c>
      <c r="F14" s="8">
        <f>Ind_IS!F18</f>
        <v/>
      </c>
      <c r="G14" s="8">
        <f>Ind_IS!G18</f>
        <v/>
      </c>
    </row>
    <row r="15">
      <c r="A15" s="5" t="inlineStr">
        <is>
          <t xml:space="preserve">    减：应收增加</t>
        </is>
      </c>
      <c r="C15" s="8">
        <f>-(Ind_BS_CF!C5-(0))</f>
        <v/>
      </c>
      <c r="D15" s="8">
        <f>-(Ind_BS_CF!D5-(Ind_BS_CF!C5))</f>
        <v/>
      </c>
      <c r="E15" s="8">
        <f>-(Ind_BS_CF!E5-(Ind_BS_CF!D5))</f>
        <v/>
      </c>
      <c r="F15" s="8">
        <f>-(Ind_BS_CF!F5-(Ind_BS_CF!E5))</f>
        <v/>
      </c>
      <c r="G15" s="8">
        <f>-(Ind_BS_CF!G5-(Ind_BS_CF!F5))</f>
        <v/>
      </c>
    </row>
    <row r="16">
      <c r="A16" s="5" t="inlineStr">
        <is>
          <t xml:space="preserve">    内部往来净变动</t>
        </is>
      </c>
      <c r="C16" s="8">
        <f>(Ind_BS_CF!C6-(0))</f>
        <v/>
      </c>
      <c r="D16" s="8">
        <f>(Ind_BS_CF!D6-(Ind_BS_CF!C6))</f>
        <v/>
      </c>
      <c r="E16" s="8">
        <f>(Ind_BS_CF!E6-(Ind_BS_CF!D6))</f>
        <v/>
      </c>
      <c r="F16" s="8">
        <f>(Ind_BS_CF!F6-(Ind_BS_CF!E6))</f>
        <v/>
      </c>
      <c r="G16" s="8">
        <f>(Ind_BS_CF!G6-(Ind_BS_CF!F6))</f>
        <v/>
      </c>
    </row>
    <row r="17">
      <c r="A17" s="5" t="inlineStr">
        <is>
          <t xml:space="preserve">    加：递延增加</t>
        </is>
      </c>
      <c r="C17" s="8">
        <f>Ind_BS_CF!C8-(0)</f>
        <v/>
      </c>
      <c r="D17" s="8">
        <f>Ind_BS_CF!D8-(Ind_BS_CF!C8)</f>
        <v/>
      </c>
      <c r="E17" s="8">
        <f>Ind_BS_CF!E8-(Ind_BS_CF!D8)</f>
        <v/>
      </c>
      <c r="F17" s="8">
        <f>Ind_BS_CF!F8-(Ind_BS_CF!E8)</f>
        <v/>
      </c>
      <c r="G17" s="8">
        <f>Ind_BS_CF!G8-(Ind_BS_CF!F8)</f>
        <v/>
      </c>
    </row>
    <row r="18">
      <c r="A18" s="5" t="inlineStr">
        <is>
          <t xml:space="preserve">    加：应付增加</t>
        </is>
      </c>
      <c r="C18" s="8">
        <f>Ind_BS_CF!C7-(0)</f>
        <v/>
      </c>
      <c r="D18" s="8">
        <f>Ind_BS_CF!D7-(Ind_BS_CF!C7)</f>
        <v/>
      </c>
      <c r="E18" s="8">
        <f>Ind_BS_CF!E7-(Ind_BS_CF!D7)</f>
        <v/>
      </c>
      <c r="F18" s="8">
        <f>Ind_BS_CF!F7-(Ind_BS_CF!E7)</f>
        <v/>
      </c>
      <c r="G18" s="8">
        <f>Ind_BS_CF!G7-(Ind_BS_CF!F7)</f>
        <v/>
      </c>
    </row>
    <row r="19">
      <c r="A19" s="3" t="inlineStr">
        <is>
          <t xml:space="preserve">    经营现金流</t>
        </is>
      </c>
      <c r="C19" s="29">
        <f>Ind_BS_CF!C14+Ind_BS_CF!C15+Ind_BS_CF!C16+Ind_BS_CF!C17+Ind_BS_CF!C18</f>
        <v/>
      </c>
      <c r="D19" s="29">
        <f>Ind_BS_CF!D14+Ind_BS_CF!D15+Ind_BS_CF!D16+Ind_BS_CF!D17+Ind_BS_CF!D18</f>
        <v/>
      </c>
      <c r="E19" s="29">
        <f>Ind_BS_CF!E14+Ind_BS_CF!E15+Ind_BS_CF!E16+Ind_BS_CF!E17+Ind_BS_CF!E18</f>
        <v/>
      </c>
      <c r="F19" s="29">
        <f>Ind_BS_CF!F14+Ind_BS_CF!F15+Ind_BS_CF!F16+Ind_BS_CF!F17+Ind_BS_CF!F18</f>
        <v/>
      </c>
      <c r="G19" s="29">
        <f>Ind_BS_CF!G14+Ind_BS_CF!G15+Ind_BS_CF!G16+Ind_BS_CF!G17+Ind_BS_CF!G18</f>
        <v/>
      </c>
    </row>
    <row r="20">
      <c r="A20" s="5" t="inlineStr">
        <is>
          <t xml:space="preserve">    筹资：股权注资</t>
        </is>
      </c>
      <c r="C20" s="8">
        <f>Assumptions!C58</f>
        <v/>
      </c>
      <c r="D20" s="8">
        <f>Assumptions!D58</f>
        <v/>
      </c>
      <c r="E20" s="8">
        <f>Assumptions!E58</f>
        <v/>
      </c>
      <c r="F20" s="8">
        <f>Assumptions!F58</f>
        <v/>
      </c>
      <c r="G20" s="8">
        <f>Assumptions!G58</f>
        <v/>
      </c>
    </row>
    <row r="21">
      <c r="A21" s="3" t="inlineStr">
        <is>
          <t xml:space="preserve">    现金净变动</t>
        </is>
      </c>
      <c r="C21" s="29">
        <f>Ind_BS_CF!C19+Ind_BS_CF!C20</f>
        <v/>
      </c>
      <c r="D21" s="29">
        <f>Ind_BS_CF!D19+Ind_BS_CF!D20</f>
        <v/>
      </c>
      <c r="E21" s="29">
        <f>Ind_BS_CF!E19+Ind_BS_CF!E20</f>
        <v/>
      </c>
      <c r="F21" s="29">
        <f>Ind_BS_CF!F19+Ind_BS_CF!F20</f>
        <v/>
      </c>
      <c r="G21" s="29">
        <f>Ind_BS_CF!G19+Ind_BS_CF!G20</f>
        <v/>
      </c>
    </row>
    <row r="22">
      <c r="A22" s="3" t="inlineStr">
        <is>
          <t xml:space="preserve">    期末现金（CF）</t>
        </is>
      </c>
      <c r="C22" s="29">
        <f>14000+Ind_BS_CF!C19+Ind_BS_CF!C20</f>
        <v/>
      </c>
      <c r="D22" s="29">
        <f>C22+Ind_BS_CF!D19+Ind_BS_CF!D20</f>
        <v/>
      </c>
      <c r="E22" s="29">
        <f>D22+Ind_BS_CF!E19+Ind_BS_CF!E20</f>
        <v/>
      </c>
      <c r="F22" s="29">
        <f>E22+Ind_BS_CF!F19+Ind_BS_CF!F20</f>
        <v/>
      </c>
      <c r="G22" s="29">
        <f>F22+Ind_BS_CF!G19+Ind_BS_CF!G20</f>
        <v/>
      </c>
    </row>
    <row r="23">
      <c r="A23" s="3" t="inlineStr">
        <is>
          <t>★ CF=BS 差异（应全 0）</t>
        </is>
      </c>
      <c r="C23" s="30" t="n"/>
      <c r="D23" s="30" t="n"/>
      <c r="E23" s="30" t="n"/>
      <c r="F23" s="30" t="n"/>
      <c r="G23" s="30" t="n"/>
    </row>
    <row r="24">
      <c r="A24" s="5" t="inlineStr">
        <is>
          <t xml:space="preserve">  CF推导 − BS倒挤</t>
        </is>
      </c>
      <c r="C24" s="34">
        <f>Ind_BS_CF!C22-Ind_BS_CF!C12</f>
        <v/>
      </c>
      <c r="D24" s="34">
        <f>Ind_BS_CF!D22-Ind_BS_CF!D12</f>
        <v/>
      </c>
      <c r="E24" s="34">
        <f>Ind_BS_CF!E22-Ind_BS_CF!E12</f>
        <v/>
      </c>
      <c r="F24" s="34">
        <f>Ind_BS_CF!F22-Ind_BS_CF!F12</f>
        <v/>
      </c>
      <c r="G24" s="34">
        <f>Ind_BS_CF!G22-Ind_BS_CF!G12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G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</cols>
  <sheetData>
    <row r="1">
      <c r="A1" s="15" t="inlineStr">
        <is>
          <t>智擎互联 · 利润表</t>
        </is>
      </c>
    </row>
    <row r="2">
      <c r="A2" s="2" t="inlineStr">
        <is>
          <t>单体 | C端：MAU×转化×ARPPU + 广告 | 万元</t>
        </is>
      </c>
    </row>
    <row r="3">
      <c r="A3" s="3" t="inlineStr">
        <is>
          <t>科目（万元）</t>
        </is>
      </c>
      <c r="B3" s="3" t="inlineStr">
        <is>
          <t>备注</t>
        </is>
      </c>
      <c r="C3" s="16" t="n">
        <v>2023</v>
      </c>
      <c r="D3" s="16" t="n">
        <v>2024</v>
      </c>
      <c r="E3" s="16" t="n">
        <v>2025</v>
      </c>
      <c r="F3" s="17" t="n">
        <v>2026</v>
      </c>
      <c r="G3" s="17" t="n">
        <v>2027</v>
      </c>
    </row>
    <row r="4">
      <c r="A4" s="5" t="inlineStr">
        <is>
          <t xml:space="preserve">    收入 · C端订阅</t>
        </is>
      </c>
      <c r="C4" s="8">
        <f>Assumptions!C31*Assumptions!C32*Assumptions!C33*12</f>
        <v/>
      </c>
      <c r="D4" s="8">
        <f>Assumptions!D31*Assumptions!D32*Assumptions!D33*12</f>
        <v/>
      </c>
      <c r="E4" s="8">
        <f>Assumptions!E31*Assumptions!E32*Assumptions!E33*12</f>
        <v/>
      </c>
      <c r="F4" s="8">
        <f>Assumptions!F31*Assumptions!F32*Assumptions!F33*12</f>
        <v/>
      </c>
      <c r="G4" s="8">
        <f>Assumptions!G31*Assumptions!G32*Assumptions!G33*12</f>
        <v/>
      </c>
    </row>
    <row r="5">
      <c r="A5" s="5" t="inlineStr">
        <is>
          <t xml:space="preserve">    收入 · 广告</t>
        </is>
      </c>
      <c r="C5" s="8">
        <f>Assumptions!C34</f>
        <v/>
      </c>
      <c r="D5" s="8">
        <f>Assumptions!D34</f>
        <v/>
      </c>
      <c r="E5" s="8">
        <f>Assumptions!E34</f>
        <v/>
      </c>
      <c r="F5" s="8">
        <f>Assumptions!F34</f>
        <v/>
      </c>
      <c r="G5" s="8">
        <f>Assumptions!G34</f>
        <v/>
      </c>
    </row>
    <row r="6">
      <c r="A6" s="3" t="inlineStr">
        <is>
          <t xml:space="preserve">    对外收入合计</t>
        </is>
      </c>
      <c r="C6" s="29">
        <f>Toc_IS!C4+Toc_IS!C5</f>
        <v/>
      </c>
      <c r="D6" s="29">
        <f>Toc_IS!D4+Toc_IS!D5</f>
        <v/>
      </c>
      <c r="E6" s="29">
        <f>Toc_IS!E4+Toc_IS!E5</f>
        <v/>
      </c>
      <c r="F6" s="29">
        <f>Toc_IS!F4+Toc_IS!F5</f>
        <v/>
      </c>
      <c r="G6" s="29">
        <f>Toc_IS!G4+Toc_IS!G5</f>
        <v/>
      </c>
    </row>
    <row r="7">
      <c r="A7" s="5" t="inlineStr">
        <is>
          <t xml:space="preserve">    成本 · 推理+带宽</t>
        </is>
      </c>
      <c r="B7" s="2" t="inlineStr">
        <is>
          <t>含付云 T3（70%）</t>
        </is>
      </c>
      <c r="C7" s="8">
        <f>Assumptions!C31*Assumptions!C35*12</f>
        <v/>
      </c>
      <c r="D7" s="8">
        <f>Assumptions!D31*Assumptions!D35*12</f>
        <v/>
      </c>
      <c r="E7" s="8">
        <f>Assumptions!E31*Assumptions!E35*12</f>
        <v/>
      </c>
      <c r="F7" s="8">
        <f>Assumptions!F31*Assumptions!F35*12</f>
        <v/>
      </c>
      <c r="G7" s="8">
        <f>Assumptions!G31*Assumptions!G35*12</f>
        <v/>
      </c>
    </row>
    <row r="8">
      <c r="A8" s="5" t="inlineStr">
        <is>
          <t xml:space="preserve">    成本 · T1 license 费</t>
        </is>
      </c>
      <c r="C8" s="8">
        <f>Toc_IS!C6*Assumptions!C50</f>
        <v/>
      </c>
      <c r="D8" s="8">
        <f>Toc_IS!D6*Assumptions!D50</f>
        <v/>
      </c>
      <c r="E8" s="8">
        <f>Toc_IS!E6*Assumptions!E50</f>
        <v/>
      </c>
      <c r="F8" s="8">
        <f>Toc_IS!F6*Assumptions!F50</f>
        <v/>
      </c>
      <c r="G8" s="8">
        <f>Toc_IS!G6*Assumptions!G50</f>
        <v/>
      </c>
    </row>
    <row r="9">
      <c r="A9" s="3" t="inlineStr">
        <is>
          <t xml:space="preserve">    营业成本合计</t>
        </is>
      </c>
      <c r="C9" s="29">
        <f>Toc_IS!C7+Toc_IS!C8</f>
        <v/>
      </c>
      <c r="D9" s="29">
        <f>Toc_IS!D7+Toc_IS!D8</f>
        <v/>
      </c>
      <c r="E9" s="29">
        <f>Toc_IS!E7+Toc_IS!E8</f>
        <v/>
      </c>
      <c r="F9" s="29">
        <f>Toc_IS!F7+Toc_IS!F8</f>
        <v/>
      </c>
      <c r="G9" s="29">
        <f>Toc_IS!G7+Toc_IS!G8</f>
        <v/>
      </c>
    </row>
    <row r="10">
      <c r="A10" s="3" t="inlineStr">
        <is>
          <t xml:space="preserve">    毛利润</t>
        </is>
      </c>
      <c r="C10" s="29">
        <f>Toc_IS!C6-Toc_IS!C9</f>
        <v/>
      </c>
      <c r="D10" s="29">
        <f>Toc_IS!D6-Toc_IS!D9</f>
        <v/>
      </c>
      <c r="E10" s="29">
        <f>Toc_IS!E6-Toc_IS!E9</f>
        <v/>
      </c>
      <c r="F10" s="29">
        <f>Toc_IS!F6-Toc_IS!F9</f>
        <v/>
      </c>
      <c r="G10" s="29">
        <f>Toc_IS!G6-Toc_IS!G9</f>
        <v/>
      </c>
    </row>
    <row r="11">
      <c r="A11" s="5" t="inlineStr">
        <is>
          <t xml:space="preserve">    研发费用</t>
        </is>
      </c>
      <c r="B11" s="2" t="inlineStr">
        <is>
          <t>×70万</t>
        </is>
      </c>
      <c r="C11" s="8">
        <f>Assumptions!C38*70</f>
        <v/>
      </c>
      <c r="D11" s="8">
        <f>Assumptions!D38*70</f>
        <v/>
      </c>
      <c r="E11" s="8">
        <f>Assumptions!E38*70</f>
        <v/>
      </c>
      <c r="F11" s="8">
        <f>Assumptions!F38*70</f>
        <v/>
      </c>
      <c r="G11" s="8">
        <f>Assumptions!G38*70</f>
        <v/>
      </c>
    </row>
    <row r="12">
      <c r="A12" s="5" t="inlineStr">
        <is>
          <t xml:space="preserve">    销售费用 · 获客</t>
        </is>
      </c>
      <c r="B12" s="2" t="inlineStr">
        <is>
          <t>新增用户×CAC</t>
        </is>
      </c>
      <c r="C12" s="8">
        <f>(Assumptions!C31-0)*Assumptions!C37*Assumptions!C36</f>
        <v/>
      </c>
      <c r="D12" s="8">
        <f>(Assumptions!D31-Assumptions!C31)*Assumptions!C37*Assumptions!D36</f>
        <v/>
      </c>
      <c r="E12" s="8">
        <f>(Assumptions!E31-Assumptions!D31)*Assumptions!C37*Assumptions!E36</f>
        <v/>
      </c>
      <c r="F12" s="8">
        <f>(Assumptions!F31-Assumptions!E31)*Assumptions!C37*Assumptions!F36</f>
        <v/>
      </c>
      <c r="G12" s="8">
        <f>(Assumptions!G31-Assumptions!F31)*Assumptions!C37*Assumptions!G36</f>
        <v/>
      </c>
    </row>
    <row r="13">
      <c r="A13" s="5" t="inlineStr">
        <is>
          <t xml:space="preserve">    销售费用合计</t>
        </is>
      </c>
      <c r="C13" s="8">
        <f>Toc_IS!C12+Assumptions!C39*55</f>
        <v/>
      </c>
      <c r="D13" s="8">
        <f>Toc_IS!D12+Assumptions!D39*55</f>
        <v/>
      </c>
      <c r="E13" s="8">
        <f>Toc_IS!E12+Assumptions!E39*55</f>
        <v/>
      </c>
      <c r="F13" s="8">
        <f>Toc_IS!F12+Assumptions!F39*55</f>
        <v/>
      </c>
      <c r="G13" s="8">
        <f>Toc_IS!G12+Assumptions!G39*55</f>
        <v/>
      </c>
    </row>
    <row r="14">
      <c r="A14" s="5" t="inlineStr">
        <is>
          <t xml:space="preserve">    管理费用</t>
        </is>
      </c>
      <c r="B14" s="2" t="inlineStr">
        <is>
          <t>×55万</t>
        </is>
      </c>
      <c r="C14" s="8">
        <f>Assumptions!C40*55</f>
        <v/>
      </c>
      <c r="D14" s="8">
        <f>Assumptions!D40*55</f>
        <v/>
      </c>
      <c r="E14" s="8">
        <f>Assumptions!E40*55</f>
        <v/>
      </c>
      <c r="F14" s="8">
        <f>Assumptions!F40*55</f>
        <v/>
      </c>
      <c r="G14" s="8">
        <f>Assumptions!G40*55</f>
        <v/>
      </c>
    </row>
    <row r="15">
      <c r="A15" s="3" t="inlineStr">
        <is>
          <t xml:space="preserve">    EBIT</t>
        </is>
      </c>
      <c r="C15" s="29">
        <f>Toc_IS!C10-Toc_IS!C11-Toc_IS!C13-Toc_IS!C14</f>
        <v/>
      </c>
      <c r="D15" s="29">
        <f>Toc_IS!D10-Toc_IS!D11-Toc_IS!D13-Toc_IS!D14</f>
        <v/>
      </c>
      <c r="E15" s="29">
        <f>Toc_IS!E10-Toc_IS!E11-Toc_IS!E13-Toc_IS!E14</f>
        <v/>
      </c>
      <c r="F15" s="29">
        <f>Toc_IS!F10-Toc_IS!F11-Toc_IS!F13-Toc_IS!F14</f>
        <v/>
      </c>
      <c r="G15" s="29">
        <f>Toc_IS!G10-Toc_IS!G11-Toc_IS!G13-Toc_IS!G14</f>
        <v/>
      </c>
    </row>
    <row r="16">
      <c r="A16" s="5" t="inlineStr">
        <is>
          <t xml:space="preserve">    所得税</t>
        </is>
      </c>
      <c r="C16" s="8">
        <f>MAX(0,Toc_IS!C15)*Assumptions!C5</f>
        <v/>
      </c>
      <c r="D16" s="8">
        <f>MAX(0,Toc_IS!D15)*Assumptions!D5</f>
        <v/>
      </c>
      <c r="E16" s="8">
        <f>MAX(0,Toc_IS!E15)*Assumptions!E5</f>
        <v/>
      </c>
      <c r="F16" s="8">
        <f>MAX(0,Toc_IS!F15)*Assumptions!F5</f>
        <v/>
      </c>
      <c r="G16" s="8">
        <f>MAX(0,Toc_IS!G15)*Assumptions!G5</f>
        <v/>
      </c>
    </row>
    <row r="17">
      <c r="A17" s="3" t="inlineStr">
        <is>
          <t xml:space="preserve">    净利润</t>
        </is>
      </c>
      <c r="B17" s="2" t="inlineStr">
        <is>
          <t>归母80%</t>
        </is>
      </c>
      <c r="C17" s="29">
        <f>Toc_IS!C15-Toc_IS!C16</f>
        <v/>
      </c>
      <c r="D17" s="29">
        <f>Toc_IS!D15-Toc_IS!D16</f>
        <v/>
      </c>
      <c r="E17" s="29">
        <f>Toc_IS!E15-Toc_IS!E16</f>
        <v/>
      </c>
      <c r="F17" s="29">
        <f>Toc_IS!F15-Toc_IS!F16</f>
        <v/>
      </c>
      <c r="G17" s="29">
        <f>Toc_IS!G15-Toc_IS!G16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/>
  </sheetPr>
  <dimension ref="A1:G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</cols>
  <sheetData>
    <row r="1">
      <c r="A1" s="15" t="inlineStr">
        <is>
          <t>智擎互联 · 资产负债表+现金流量表</t>
        </is>
      </c>
    </row>
    <row r="2">
      <c r="A2" s="2" t="inlineStr">
        <is>
          <t>单体半厚 | 母公司持股80% | 万元</t>
        </is>
      </c>
    </row>
    <row r="3">
      <c r="A3" s="3" t="inlineStr">
        <is>
          <t>科目（万元）</t>
        </is>
      </c>
      <c r="B3" s="3" t="inlineStr">
        <is>
          <t>备注</t>
        </is>
      </c>
      <c r="C3" s="16" t="n">
        <v>2023</v>
      </c>
      <c r="D3" s="16" t="n">
        <v>2024</v>
      </c>
      <c r="E3" s="16" t="n">
        <v>2025</v>
      </c>
      <c r="F3" s="17" t="n">
        <v>2026</v>
      </c>
      <c r="G3" s="17" t="n">
        <v>2027</v>
      </c>
    </row>
    <row r="4">
      <c r="A4" s="18" t="inlineStr">
        <is>
          <t>── 资产负债表（关键科目）──</t>
        </is>
      </c>
    </row>
    <row r="5">
      <c r="A5" s="5" t="inlineStr">
        <is>
          <t xml:space="preserve">    应收账款</t>
        </is>
      </c>
      <c r="B5" s="2" t="inlineStr">
        <is>
          <t>广告主账期</t>
        </is>
      </c>
      <c r="C5" s="8">
        <f>Toc_IS!C6*Assumptions!C6/365</f>
        <v/>
      </c>
      <c r="D5" s="8">
        <f>Toc_IS!D6*Assumptions!D6/365</f>
        <v/>
      </c>
      <c r="E5" s="8">
        <f>Toc_IS!E6*Assumptions!E6/365</f>
        <v/>
      </c>
      <c r="F5" s="8">
        <f>Toc_IS!F6*Assumptions!F6/365</f>
        <v/>
      </c>
      <c r="G5" s="8">
        <f>Toc_IS!G6*Assumptions!G6/365</f>
        <v/>
      </c>
    </row>
    <row r="6">
      <c r="A6" s="5" t="inlineStr">
        <is>
          <t xml:space="preserve">    内部应付（T3+T1）</t>
        </is>
      </c>
      <c r="B6" s="2" t="inlineStr">
        <is>
          <t>含在途，全挂</t>
        </is>
      </c>
      <c r="C6" s="8">
        <f>(Assumptions!C31*Assumptions!C35*12*Assumptions!C52+Toc_IS!C8)*Assumptions!C8/365</f>
        <v/>
      </c>
      <c r="D6" s="8">
        <f>(Assumptions!D31*Assumptions!D35*12*Assumptions!D52+Toc_IS!D8)*Assumptions!D8/365</f>
        <v/>
      </c>
      <c r="E6" s="8">
        <f>(Assumptions!E31*Assumptions!E35*12*Assumptions!E52+Toc_IS!E8)*Assumptions!E8/365</f>
        <v/>
      </c>
      <c r="F6" s="8">
        <f>(Assumptions!F31*Assumptions!F35*12*Assumptions!F52+Toc_IS!F8)*Assumptions!F8/365</f>
        <v/>
      </c>
      <c r="G6" s="8">
        <f>(Assumptions!G31*Assumptions!G35*12*Assumptions!G52+Toc_IS!G8)*Assumptions!G8/365</f>
        <v/>
      </c>
    </row>
    <row r="7">
      <c r="A7" s="5" t="inlineStr">
        <is>
          <t xml:space="preserve">    应付账款</t>
        </is>
      </c>
      <c r="C7" s="8">
        <f>(Toc_IS!C9+Toc_IS!C11+Toc_IS!C13+Toc_IS!C14)*Assumptions!C7/365</f>
        <v/>
      </c>
      <c r="D7" s="8">
        <f>(Toc_IS!D9+Toc_IS!D11+Toc_IS!D13+Toc_IS!D14)*Assumptions!D7/365</f>
        <v/>
      </c>
      <c r="E7" s="8">
        <f>(Toc_IS!E9+Toc_IS!E11+Toc_IS!E13+Toc_IS!E14)*Assumptions!E7/365</f>
        <v/>
      </c>
      <c r="F7" s="8">
        <f>(Toc_IS!F9+Toc_IS!F11+Toc_IS!F13+Toc_IS!F14)*Assumptions!F7/365</f>
        <v/>
      </c>
      <c r="G7" s="8">
        <f>(Toc_IS!G9+Toc_IS!G11+Toc_IS!G13+Toc_IS!G14)*Assumptions!G7/365</f>
        <v/>
      </c>
    </row>
    <row r="8">
      <c r="A8" s="5" t="inlineStr">
        <is>
          <t xml:space="preserve">    递延收益</t>
        </is>
      </c>
      <c r="B8" s="2" t="inlineStr">
        <is>
          <t>订阅年费预收</t>
        </is>
      </c>
      <c r="C8" s="8">
        <f>Toc_IS!C4*Assumptions!C79</f>
        <v/>
      </c>
      <c r="D8" s="8">
        <f>Toc_IS!D4*Assumptions!D79</f>
        <v/>
      </c>
      <c r="E8" s="8">
        <f>Toc_IS!E4*Assumptions!E79</f>
        <v/>
      </c>
      <c r="F8" s="8">
        <f>Toc_IS!F4*Assumptions!F79</f>
        <v/>
      </c>
      <c r="G8" s="8">
        <f>Toc_IS!G4*Assumptions!G79</f>
        <v/>
      </c>
    </row>
    <row r="9">
      <c r="A9" s="3" t="inlineStr">
        <is>
          <t>负债合计</t>
        </is>
      </c>
      <c r="C9" s="29">
        <f>Toc_BS_CF!C7+Toc_BS_CF!C6+Toc_BS_CF!C8</f>
        <v/>
      </c>
      <c r="D9" s="29">
        <f>Toc_BS_CF!D7+Toc_BS_CF!D6+Toc_BS_CF!D8</f>
        <v/>
      </c>
      <c r="E9" s="29">
        <f>Toc_BS_CF!E7+Toc_BS_CF!E6+Toc_BS_CF!E8</f>
        <v/>
      </c>
      <c r="F9" s="29">
        <f>Toc_BS_CF!F7+Toc_BS_CF!F6+Toc_BS_CF!F8</f>
        <v/>
      </c>
      <c r="G9" s="29">
        <f>Toc_BS_CF!G7+Toc_BS_CF!G6+Toc_BS_CF!G8</f>
        <v/>
      </c>
    </row>
    <row r="10">
      <c r="A10" s="5" t="inlineStr">
        <is>
          <t xml:space="preserve">    实收资本</t>
        </is>
      </c>
      <c r="B10" s="2" t="inlineStr">
        <is>
          <t>母80%+战投20%</t>
        </is>
      </c>
      <c r="C10" s="8">
        <f>Assumptions!C73+Assumptions!C59</f>
        <v/>
      </c>
      <c r="D10" s="8">
        <f>C10+Assumptions!D59</f>
        <v/>
      </c>
      <c r="E10" s="8">
        <f>D10+Assumptions!E59</f>
        <v/>
      </c>
      <c r="F10" s="8">
        <f>E10+Assumptions!F59</f>
        <v/>
      </c>
      <c r="G10" s="8">
        <f>F10+Assumptions!G59</f>
        <v/>
      </c>
    </row>
    <row r="11">
      <c r="A11" s="5" t="inlineStr">
        <is>
          <t xml:space="preserve">    未分配利润</t>
        </is>
      </c>
      <c r="C11" s="8">
        <f>Assumptions!C72+Toc_IS!C17</f>
        <v/>
      </c>
      <c r="D11" s="8">
        <f>C11+Toc_IS!D17</f>
        <v/>
      </c>
      <c r="E11" s="8">
        <f>D11+Toc_IS!E17</f>
        <v/>
      </c>
      <c r="F11" s="8">
        <f>E11+Toc_IS!F17</f>
        <v/>
      </c>
      <c r="G11" s="8">
        <f>F11+Toc_IS!G17</f>
        <v/>
      </c>
    </row>
    <row r="12">
      <c r="A12" s="32" t="inlineStr">
        <is>
          <t>货币资金（倒挤）</t>
        </is>
      </c>
      <c r="C12" s="33">
        <f>Toc_BS_CF!C9+Toc_BS_CF!C10+Toc_BS_CF!C11-Toc_BS_CF!C5</f>
        <v/>
      </c>
      <c r="D12" s="33">
        <f>Toc_BS_CF!D9+Toc_BS_CF!D10+Toc_BS_CF!D11-Toc_BS_CF!D5</f>
        <v/>
      </c>
      <c r="E12" s="33">
        <f>Toc_BS_CF!E9+Toc_BS_CF!E10+Toc_BS_CF!E11-Toc_BS_CF!E5</f>
        <v/>
      </c>
      <c r="F12" s="33">
        <f>Toc_BS_CF!F9+Toc_BS_CF!F10+Toc_BS_CF!F11-Toc_BS_CF!F5</f>
        <v/>
      </c>
      <c r="G12" s="33">
        <f>Toc_BS_CF!G9+Toc_BS_CF!G10+Toc_BS_CF!G11-Toc_BS_CF!G5</f>
        <v/>
      </c>
    </row>
    <row r="13">
      <c r="A13" s="18" t="inlineStr">
        <is>
          <t>── 现金流量表（间接法）──</t>
        </is>
      </c>
    </row>
    <row r="14">
      <c r="A14" s="5" t="inlineStr">
        <is>
          <t xml:space="preserve">    净利润</t>
        </is>
      </c>
      <c r="C14" s="8">
        <f>Toc_IS!C17</f>
        <v/>
      </c>
      <c r="D14" s="8">
        <f>Toc_IS!D17</f>
        <v/>
      </c>
      <c r="E14" s="8">
        <f>Toc_IS!E17</f>
        <v/>
      </c>
      <c r="F14" s="8">
        <f>Toc_IS!F17</f>
        <v/>
      </c>
      <c r="G14" s="8">
        <f>Toc_IS!G17</f>
        <v/>
      </c>
    </row>
    <row r="15">
      <c r="A15" s="5" t="inlineStr">
        <is>
          <t xml:space="preserve">    减：应收增加</t>
        </is>
      </c>
      <c r="C15" s="8">
        <f>-(Toc_BS_CF!C5-(0))</f>
        <v/>
      </c>
      <c r="D15" s="8">
        <f>-(Toc_BS_CF!D5-(Toc_BS_CF!C5))</f>
        <v/>
      </c>
      <c r="E15" s="8">
        <f>-(Toc_BS_CF!E5-(Toc_BS_CF!D5))</f>
        <v/>
      </c>
      <c r="F15" s="8">
        <f>-(Toc_BS_CF!F5-(Toc_BS_CF!E5))</f>
        <v/>
      </c>
      <c r="G15" s="8">
        <f>-(Toc_BS_CF!G5-(Toc_BS_CF!F5))</f>
        <v/>
      </c>
    </row>
    <row r="16">
      <c r="A16" s="5" t="inlineStr">
        <is>
          <t xml:space="preserve">    内部往来净变动</t>
        </is>
      </c>
      <c r="C16" s="8">
        <f>(Toc_BS_CF!C6-(0))</f>
        <v/>
      </c>
      <c r="D16" s="8">
        <f>(Toc_BS_CF!D6-(Toc_BS_CF!C6))</f>
        <v/>
      </c>
      <c r="E16" s="8">
        <f>(Toc_BS_CF!E6-(Toc_BS_CF!D6))</f>
        <v/>
      </c>
      <c r="F16" s="8">
        <f>(Toc_BS_CF!F6-(Toc_BS_CF!E6))</f>
        <v/>
      </c>
      <c r="G16" s="8">
        <f>(Toc_BS_CF!G6-(Toc_BS_CF!F6))</f>
        <v/>
      </c>
    </row>
    <row r="17">
      <c r="A17" s="5" t="inlineStr">
        <is>
          <t xml:space="preserve">    加：递延增加</t>
        </is>
      </c>
      <c r="C17" s="8">
        <f>Toc_BS_CF!C8-(0)</f>
        <v/>
      </c>
      <c r="D17" s="8">
        <f>Toc_BS_CF!D8-(Toc_BS_CF!C8)</f>
        <v/>
      </c>
      <c r="E17" s="8">
        <f>Toc_BS_CF!E8-(Toc_BS_CF!D8)</f>
        <v/>
      </c>
      <c r="F17" s="8">
        <f>Toc_BS_CF!F8-(Toc_BS_CF!E8)</f>
        <v/>
      </c>
      <c r="G17" s="8">
        <f>Toc_BS_CF!G8-(Toc_BS_CF!F8)</f>
        <v/>
      </c>
    </row>
    <row r="18">
      <c r="A18" s="5" t="inlineStr">
        <is>
          <t xml:space="preserve">    加：应付增加</t>
        </is>
      </c>
      <c r="C18" s="8">
        <f>Toc_BS_CF!C7-(0)</f>
        <v/>
      </c>
      <c r="D18" s="8">
        <f>Toc_BS_CF!D7-(Toc_BS_CF!C7)</f>
        <v/>
      </c>
      <c r="E18" s="8">
        <f>Toc_BS_CF!E7-(Toc_BS_CF!D7)</f>
        <v/>
      </c>
      <c r="F18" s="8">
        <f>Toc_BS_CF!F7-(Toc_BS_CF!E7)</f>
        <v/>
      </c>
      <c r="G18" s="8">
        <f>Toc_BS_CF!G7-(Toc_BS_CF!F7)</f>
        <v/>
      </c>
    </row>
    <row r="19">
      <c r="A19" s="3" t="inlineStr">
        <is>
          <t xml:space="preserve">    经营现金流</t>
        </is>
      </c>
      <c r="C19" s="29">
        <f>Toc_BS_CF!C14+Toc_BS_CF!C15+Toc_BS_CF!C16+Toc_BS_CF!C17+Toc_BS_CF!C18</f>
        <v/>
      </c>
      <c r="D19" s="29">
        <f>Toc_BS_CF!D14+Toc_BS_CF!D15+Toc_BS_CF!D16+Toc_BS_CF!D17+Toc_BS_CF!D18</f>
        <v/>
      </c>
      <c r="E19" s="29">
        <f>Toc_BS_CF!E14+Toc_BS_CF!E15+Toc_BS_CF!E16+Toc_BS_CF!E17+Toc_BS_CF!E18</f>
        <v/>
      </c>
      <c r="F19" s="29">
        <f>Toc_BS_CF!F14+Toc_BS_CF!F15+Toc_BS_CF!F16+Toc_BS_CF!F17+Toc_BS_CF!F18</f>
        <v/>
      </c>
      <c r="G19" s="29">
        <f>Toc_BS_CF!G14+Toc_BS_CF!G15+Toc_BS_CF!G16+Toc_BS_CF!G17+Toc_BS_CF!G18</f>
        <v/>
      </c>
    </row>
    <row r="20">
      <c r="A20" s="5" t="inlineStr">
        <is>
          <t xml:space="preserve">    筹资：股权注资（含战投）</t>
        </is>
      </c>
      <c r="C20" s="8">
        <f>Assumptions!C59</f>
        <v/>
      </c>
      <c r="D20" s="8">
        <f>Assumptions!D59</f>
        <v/>
      </c>
      <c r="E20" s="8">
        <f>Assumptions!E59</f>
        <v/>
      </c>
      <c r="F20" s="8">
        <f>Assumptions!F59</f>
        <v/>
      </c>
      <c r="G20" s="8">
        <f>Assumptions!G59</f>
        <v/>
      </c>
    </row>
    <row r="21">
      <c r="A21" s="3" t="inlineStr">
        <is>
          <t xml:space="preserve">    现金净变动</t>
        </is>
      </c>
      <c r="C21" s="29">
        <f>Toc_BS_CF!C19+Toc_BS_CF!C20</f>
        <v/>
      </c>
      <c r="D21" s="29">
        <f>Toc_BS_CF!D19+Toc_BS_CF!D20</f>
        <v/>
      </c>
      <c r="E21" s="29">
        <f>Toc_BS_CF!E19+Toc_BS_CF!E20</f>
        <v/>
      </c>
      <c r="F21" s="29">
        <f>Toc_BS_CF!F19+Toc_BS_CF!F20</f>
        <v/>
      </c>
      <c r="G21" s="29">
        <f>Toc_BS_CF!G19+Toc_BS_CF!G20</f>
        <v/>
      </c>
    </row>
    <row r="22">
      <c r="A22" s="3" t="inlineStr">
        <is>
          <t xml:space="preserve">    期末现金（CF）</t>
        </is>
      </c>
      <c r="C22" s="29">
        <f>7000+Toc_BS_CF!C19+Toc_BS_CF!C20</f>
        <v/>
      </c>
      <c r="D22" s="29">
        <f>C22+Toc_BS_CF!D19+Toc_BS_CF!D20</f>
        <v/>
      </c>
      <c r="E22" s="29">
        <f>D22+Toc_BS_CF!E19+Toc_BS_CF!E20</f>
        <v/>
      </c>
      <c r="F22" s="29">
        <f>E22+Toc_BS_CF!F19+Toc_BS_CF!F20</f>
        <v/>
      </c>
      <c r="G22" s="29">
        <f>F22+Toc_BS_CF!G19+Toc_BS_CF!G20</f>
        <v/>
      </c>
    </row>
    <row r="23">
      <c r="A23" s="3" t="inlineStr">
        <is>
          <t>★ CF=BS 差异（应全 0）</t>
        </is>
      </c>
      <c r="C23" s="30" t="n"/>
      <c r="D23" s="30" t="n"/>
      <c r="E23" s="30" t="n"/>
      <c r="F23" s="30" t="n"/>
      <c r="G23" s="30" t="n"/>
    </row>
    <row r="24">
      <c r="A24" s="5" t="inlineStr">
        <is>
          <t xml:space="preserve">  CF推导 − BS倒挤</t>
        </is>
      </c>
      <c r="C24" s="34">
        <f>Toc_BS_CF!C22-Toc_BS_CF!C12</f>
        <v/>
      </c>
      <c r="D24" s="34">
        <f>Toc_BS_CF!D22-Toc_BS_CF!D12</f>
        <v/>
      </c>
      <c r="E24" s="34">
        <f>Toc_BS_CF!E22-Toc_BS_CF!E12</f>
        <v/>
      </c>
      <c r="F24" s="34">
        <f>Toc_BS_CF!F22-Toc_BS_CF!F12</f>
        <v/>
      </c>
      <c r="G24" s="34">
        <f>Toc_BS_CF!G22-Toc_BS_CF!G12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G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</cols>
  <sheetData>
    <row r="1">
      <c r="A1" s="15" t="inlineStr">
        <is>
          <t>智擎研究院 · 利润表</t>
        </is>
      </c>
    </row>
    <row r="2">
      <c r="A2" s="2" t="inlineStr">
        <is>
          <t>单体 | 全关联收入，无对外收入 | 万元</t>
        </is>
      </c>
    </row>
    <row r="3">
      <c r="A3" s="3" t="inlineStr">
        <is>
          <t>科目（万元）</t>
        </is>
      </c>
      <c r="B3" s="3" t="inlineStr">
        <is>
          <t>备注</t>
        </is>
      </c>
      <c r="C3" s="16" t="n">
        <v>2023</v>
      </c>
      <c r="D3" s="16" t="n">
        <v>2024</v>
      </c>
      <c r="E3" s="16" t="n">
        <v>2025</v>
      </c>
      <c r="F3" s="17" t="n">
        <v>2026</v>
      </c>
      <c r="G3" s="17" t="n">
        <v>2027</v>
      </c>
    </row>
    <row r="4">
      <c r="A4" s="5" t="inlineStr">
        <is>
          <t xml:space="preserve">    关联收入 · T1 模型 license</t>
        </is>
      </c>
      <c r="B4" s="2" t="inlineStr">
        <is>
          <t>三家子公司对外收入×费率</t>
        </is>
      </c>
      <c r="C4" s="8">
        <f>Cloud_IS!C4*Assumptions!C48+Ind_IS!C6*Assumptions!C49+Toc_IS!C6*Assumptions!C50</f>
        <v/>
      </c>
      <c r="D4" s="8">
        <f>Cloud_IS!D4*Assumptions!D48+Ind_IS!D6*Assumptions!D49+Toc_IS!D6*Assumptions!D50</f>
        <v/>
      </c>
      <c r="E4" s="8">
        <f>Cloud_IS!E4*Assumptions!E48+Ind_IS!E6*Assumptions!E49+Toc_IS!E6*Assumptions!E50</f>
        <v/>
      </c>
      <c r="F4" s="8">
        <f>Cloud_IS!F4*Assumptions!F48+Ind_IS!F6*Assumptions!F49+Toc_IS!F6*Assumptions!F50</f>
        <v/>
      </c>
      <c r="G4" s="8">
        <f>Cloud_IS!G4*Assumptions!G48+Ind_IS!G6*Assumptions!G49+Toc_IS!G6*Assumptions!G50</f>
        <v/>
      </c>
    </row>
    <row r="5">
      <c r="A5" s="5" t="inlineStr">
        <is>
          <t xml:space="preserve">    关联收入 · T2 定制研发服务</t>
        </is>
      </c>
      <c r="B5" s="2" t="inlineStr">
        <is>
          <t>行业子公司</t>
        </is>
      </c>
      <c r="C5" s="8">
        <f>Assumptions!C51</f>
        <v/>
      </c>
      <c r="D5" s="8">
        <f>Assumptions!D51</f>
        <v/>
      </c>
      <c r="E5" s="8">
        <f>Assumptions!E51</f>
        <v/>
      </c>
      <c r="F5" s="8">
        <f>Assumptions!F51</f>
        <v/>
      </c>
      <c r="G5" s="8">
        <f>Assumptions!G51</f>
        <v/>
      </c>
    </row>
    <row r="6">
      <c r="A6" s="3" t="inlineStr">
        <is>
          <t xml:space="preserve">    营业收入合计</t>
        </is>
      </c>
      <c r="C6" s="29">
        <f>HoldCo_IS!C4+HoldCo_IS!C5</f>
        <v/>
      </c>
      <c r="D6" s="29">
        <f>HoldCo_IS!D4+HoldCo_IS!D5</f>
        <v/>
      </c>
      <c r="E6" s="29">
        <f>HoldCo_IS!E4+HoldCo_IS!E5</f>
        <v/>
      </c>
      <c r="F6" s="29">
        <f>HoldCo_IS!F4+HoldCo_IS!F5</f>
        <v/>
      </c>
      <c r="G6" s="29">
        <f>HoldCo_IS!G4+HoldCo_IS!G5</f>
        <v/>
      </c>
    </row>
    <row r="7">
      <c r="A7" s="5" t="inlineStr">
        <is>
          <t xml:space="preserve">    营业成本</t>
        </is>
      </c>
      <c r="B7" s="2" t="inlineStr">
        <is>
          <t>研究院无直接 COGS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</row>
    <row r="8">
      <c r="A8" s="3" t="inlineStr">
        <is>
          <t xml:space="preserve">    毛利润</t>
        </is>
      </c>
      <c r="C8" s="29">
        <f>HoldCo_IS!C6-HoldCo_IS!C7</f>
        <v/>
      </c>
      <c r="D8" s="29">
        <f>HoldCo_IS!D6-HoldCo_IS!D7</f>
        <v/>
      </c>
      <c r="E8" s="29">
        <f>HoldCo_IS!E6-HoldCo_IS!E7</f>
        <v/>
      </c>
      <c r="F8" s="29">
        <f>HoldCo_IS!F6-HoldCo_IS!F7</f>
        <v/>
      </c>
      <c r="G8" s="29">
        <f>HoldCo_IS!G6-HoldCo_IS!G7</f>
        <v/>
      </c>
    </row>
    <row r="9">
      <c r="A9" s="5" t="inlineStr">
        <is>
          <t xml:space="preserve">    研发费用</t>
        </is>
      </c>
      <c r="B9" s="2" t="inlineStr">
        <is>
          <t>编制+训练折旧+其他</t>
        </is>
      </c>
      <c r="C9" s="8">
        <f>Assumptions!C42*Assumptions!C43+Capex_Dep!C22+Assumptions!C44</f>
        <v/>
      </c>
      <c r="D9" s="8">
        <f>Assumptions!D42*Assumptions!D43+Capex_Dep!D22+Assumptions!D44</f>
        <v/>
      </c>
      <c r="E9" s="8">
        <f>Assumptions!E42*Assumptions!E43+Capex_Dep!E22+Assumptions!E44</f>
        <v/>
      </c>
      <c r="F9" s="8">
        <f>Assumptions!F42*Assumptions!F43+Capex_Dep!F22+Assumptions!F44</f>
        <v/>
      </c>
      <c r="G9" s="8">
        <f>Assumptions!G42*Assumptions!G43+Capex_Dep!G22+Assumptions!G44</f>
        <v/>
      </c>
    </row>
    <row r="10">
      <c r="A10" s="5" t="inlineStr">
        <is>
          <t xml:space="preserve">    销售费用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</row>
    <row r="11">
      <c r="A11" s="5" t="inlineStr">
        <is>
          <t xml:space="preserve">    管理费用</t>
        </is>
      </c>
      <c r="C11" s="8">
        <f>Assumptions!C45*Assumptions!C46</f>
        <v/>
      </c>
      <c r="D11" s="8">
        <f>Assumptions!D45*Assumptions!D46</f>
        <v/>
      </c>
      <c r="E11" s="8">
        <f>Assumptions!E45*Assumptions!E46</f>
        <v/>
      </c>
      <c r="F11" s="8">
        <f>Assumptions!F45*Assumptions!F46</f>
        <v/>
      </c>
      <c r="G11" s="8">
        <f>Assumptions!G45*Assumptions!G46</f>
        <v/>
      </c>
    </row>
    <row r="12">
      <c r="A12" s="3" t="inlineStr">
        <is>
          <t xml:space="preserve">    EBIT</t>
        </is>
      </c>
      <c r="C12" s="29">
        <f>HoldCo_IS!C8-HoldCo_IS!C9-HoldCo_IS!C10-HoldCo_IS!C11</f>
        <v/>
      </c>
      <c r="D12" s="29">
        <f>HoldCo_IS!D8-HoldCo_IS!D9-HoldCo_IS!D10-HoldCo_IS!D11</f>
        <v/>
      </c>
      <c r="E12" s="29">
        <f>HoldCo_IS!E8-HoldCo_IS!E9-HoldCo_IS!E10-HoldCo_IS!E11</f>
        <v/>
      </c>
      <c r="F12" s="29">
        <f>HoldCo_IS!F8-HoldCo_IS!F9-HoldCo_IS!F10-HoldCo_IS!F11</f>
        <v/>
      </c>
      <c r="G12" s="29">
        <f>HoldCo_IS!G8-HoldCo_IS!G9-HoldCo_IS!G10-HoldCo_IS!G11</f>
        <v/>
      </c>
    </row>
    <row r="13">
      <c r="A13" s="5" t="inlineStr">
        <is>
          <t xml:space="preserve">    所得税（亏损不确认）</t>
        </is>
      </c>
      <c r="C13" s="8">
        <f>MAX(0,HoldCo_IS!C12)*Assumptions!C5</f>
        <v/>
      </c>
      <c r="D13" s="8">
        <f>MAX(0,HoldCo_IS!D12)*Assumptions!D5</f>
        <v/>
      </c>
      <c r="E13" s="8">
        <f>MAX(0,HoldCo_IS!E12)*Assumptions!E5</f>
        <v/>
      </c>
      <c r="F13" s="8">
        <f>MAX(0,HoldCo_IS!F12)*Assumptions!F5</f>
        <v/>
      </c>
      <c r="G13" s="8">
        <f>MAX(0,HoldCo_IS!G12)*Assumptions!G5</f>
        <v/>
      </c>
    </row>
    <row r="14">
      <c r="A14" s="3" t="inlineStr">
        <is>
          <t xml:space="preserve">    净利润</t>
        </is>
      </c>
      <c r="C14" s="29">
        <f>HoldCo_IS!C12-HoldCo_IS!C13</f>
        <v/>
      </c>
      <c r="D14" s="29">
        <f>HoldCo_IS!D12-HoldCo_IS!D13</f>
        <v/>
      </c>
      <c r="E14" s="29">
        <f>HoldCo_IS!E12-HoldCo_IS!E13</f>
        <v/>
      </c>
      <c r="F14" s="29">
        <f>HoldCo_IS!F12-HoldCo_IS!F13</f>
        <v/>
      </c>
      <c r="G14" s="29">
        <f>HoldCo_IS!G12-HoldCo_IS!G13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/>
  </sheetPr>
  <dimension ref="A1:G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</cols>
  <sheetData>
    <row r="1">
      <c r="A1" s="15" t="inlineStr">
        <is>
          <t>智擎研究院 · 资产负债表</t>
        </is>
      </c>
    </row>
    <row r="2">
      <c r="A2" s="2" t="inlineStr">
        <is>
          <t>单体 | 现金=倒挤项 → 结构性平衡 | 万元</t>
        </is>
      </c>
    </row>
    <row r="3">
      <c r="A3" s="3" t="inlineStr">
        <is>
          <t>科目（万元）</t>
        </is>
      </c>
      <c r="B3" s="3" t="inlineStr">
        <is>
          <t>备注</t>
        </is>
      </c>
      <c r="C3" s="16" t="n">
        <v>2023</v>
      </c>
      <c r="D3" s="16" t="n">
        <v>2024</v>
      </c>
      <c r="E3" s="16" t="n">
        <v>2025</v>
      </c>
      <c r="F3" s="17" t="n">
        <v>2026</v>
      </c>
      <c r="G3" s="17" t="n">
        <v>2027</v>
      </c>
    </row>
    <row r="4">
      <c r="A4" s="5" t="inlineStr">
        <is>
          <t xml:space="preserve">    应收账款</t>
        </is>
      </c>
      <c r="B4" s="2" t="inlineStr">
        <is>
          <t>无对外收入，应收为 0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</row>
    <row r="5">
      <c r="A5" s="5" t="inlineStr">
        <is>
          <t xml:space="preserve">    内部应收（关联往来）</t>
        </is>
      </c>
      <c r="B5" s="2" t="inlineStr">
        <is>
          <t>T1+T2 × 60天</t>
        </is>
      </c>
      <c r="C5" s="8">
        <f>(HoldCo_IS!C4+HoldCo_IS!C5)*Assumptions!C8/365</f>
        <v/>
      </c>
      <c r="D5" s="8">
        <f>(HoldCo_IS!D4+HoldCo_IS!D5)*Assumptions!D8/365</f>
        <v/>
      </c>
      <c r="E5" s="8">
        <f>(HoldCo_IS!E4+HoldCo_IS!E5)*Assumptions!E8/365</f>
        <v/>
      </c>
      <c r="F5" s="8">
        <f>(HoldCo_IS!F4+HoldCo_IS!F5)*Assumptions!F8/365</f>
        <v/>
      </c>
      <c r="G5" s="8">
        <f>(HoldCo_IS!G4+HoldCo_IS!G5)*Assumptions!G8/365</f>
        <v/>
      </c>
    </row>
    <row r="6">
      <c r="A6" s="5" t="inlineStr">
        <is>
          <t xml:space="preserve">    固定资产 · GPU 净值</t>
        </is>
      </c>
      <c r="B6" s="2" t="inlineStr">
        <is>
          <t>训练算力</t>
        </is>
      </c>
      <c r="C6" s="8">
        <f>Capex_Dep!C23</f>
        <v/>
      </c>
      <c r="D6" s="8">
        <f>Capex_Dep!D23</f>
        <v/>
      </c>
      <c r="E6" s="8">
        <f>Capex_Dep!E23</f>
        <v/>
      </c>
      <c r="F6" s="8">
        <f>Capex_Dep!F23</f>
        <v/>
      </c>
      <c r="G6" s="8">
        <f>Capex_Dep!G23</f>
        <v/>
      </c>
    </row>
    <row r="7">
      <c r="A7" s="5" t="inlineStr">
        <is>
          <t xml:space="preserve">    长期股权投资</t>
        </is>
      </c>
      <c r="B7" s="2" t="inlineStr">
        <is>
          <t>成本法：期初+对子公司注资</t>
        </is>
      </c>
      <c r="C7" s="8">
        <f>Assumptions!C76+(Assumptions!C57+Assumptions!C58+Assumptions!C59*0.8)</f>
        <v/>
      </c>
      <c r="D7" s="8">
        <f>C7+(Assumptions!D57+Assumptions!D58+Assumptions!D59*0.8)</f>
        <v/>
      </c>
      <c r="E7" s="8">
        <f>D7+(Assumptions!E57+Assumptions!E58+Assumptions!E59*0.8)</f>
        <v/>
      </c>
      <c r="F7" s="8">
        <f>E7+(Assumptions!F57+Assumptions!F58+Assumptions!F59*0.8)</f>
        <v/>
      </c>
      <c r="G7" s="8">
        <f>F7+(Assumptions!G57+Assumptions!G58+Assumptions!G59*0.8)</f>
        <v/>
      </c>
    </row>
    <row r="8">
      <c r="A8" s="3" t="inlineStr">
        <is>
          <t>非现金资产合计</t>
        </is>
      </c>
      <c r="B8" s="2" t="inlineStr">
        <is>
          <t>（辅助行）</t>
        </is>
      </c>
      <c r="C8" s="29">
        <f>HoldCo_BS!C4+HoldCo_BS!C5+HoldCo_BS!C6+HoldCo_BS!C7</f>
        <v/>
      </c>
      <c r="D8" s="29">
        <f>HoldCo_BS!D4+HoldCo_BS!D5+HoldCo_BS!D6+HoldCo_BS!D7</f>
        <v/>
      </c>
      <c r="E8" s="29">
        <f>HoldCo_BS!E4+HoldCo_BS!E5+HoldCo_BS!E6+HoldCo_BS!E7</f>
        <v/>
      </c>
      <c r="F8" s="29">
        <f>HoldCo_BS!F4+HoldCo_BS!F5+HoldCo_BS!F6+HoldCo_BS!F7</f>
        <v/>
      </c>
      <c r="G8" s="29">
        <f>HoldCo_BS!G4+HoldCo_BS!G5+HoldCo_BS!G6+HoldCo_BS!G7</f>
        <v/>
      </c>
    </row>
    <row r="10">
      <c r="A10" s="5" t="inlineStr">
        <is>
          <t xml:space="preserve">    应付账款</t>
        </is>
      </c>
      <c r="B10" s="2" t="inlineStr">
        <is>
          <t>现金成本×DPO</t>
        </is>
      </c>
      <c r="C10" s="8">
        <f>(HoldCo_IS!C7+HoldCo_IS!C9+HoldCo_IS!C10+HoldCo_IS!C11-Capex_Dep!C22)*Assumptions!C7/365</f>
        <v/>
      </c>
      <c r="D10" s="8">
        <f>(HoldCo_IS!D7+HoldCo_IS!D9+HoldCo_IS!D10+HoldCo_IS!D11-Capex_Dep!D22)*Assumptions!D7/365</f>
        <v/>
      </c>
      <c r="E10" s="8">
        <f>(HoldCo_IS!E7+HoldCo_IS!E9+HoldCo_IS!E10+HoldCo_IS!E11-Capex_Dep!E22)*Assumptions!E7/365</f>
        <v/>
      </c>
      <c r="F10" s="8">
        <f>(HoldCo_IS!F7+HoldCo_IS!F9+HoldCo_IS!F10+HoldCo_IS!F11-Capex_Dep!F22)*Assumptions!F7/365</f>
        <v/>
      </c>
      <c r="G10" s="8">
        <f>(HoldCo_IS!G7+HoldCo_IS!G9+HoldCo_IS!G10+HoldCo_IS!G11-Capex_Dep!G22)*Assumptions!G7/365</f>
        <v/>
      </c>
    </row>
    <row r="11">
      <c r="A11" s="5" t="inlineStr">
        <is>
          <t xml:space="preserve">    内部应付</t>
        </is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</row>
    <row r="12">
      <c r="A12" s="5" t="inlineStr">
        <is>
          <t xml:space="preserve">    递延收益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</row>
    <row r="13">
      <c r="A13" s="3" t="inlineStr">
        <is>
          <t>负债合计</t>
        </is>
      </c>
      <c r="C13" s="29">
        <f>HoldCo_BS!C10+HoldCo_BS!C11+HoldCo_BS!C12</f>
        <v/>
      </c>
      <c r="D13" s="29">
        <f>HoldCo_BS!D10+HoldCo_BS!D11+HoldCo_BS!D12</f>
        <v/>
      </c>
      <c r="E13" s="29">
        <f>HoldCo_BS!E10+HoldCo_BS!E11+HoldCo_BS!E12</f>
        <v/>
      </c>
      <c r="F13" s="29">
        <f>HoldCo_BS!F10+HoldCo_BS!F11+HoldCo_BS!F12</f>
        <v/>
      </c>
      <c r="G13" s="29">
        <f>HoldCo_BS!G10+HoldCo_BS!G11+HoldCo_BS!G12</f>
        <v/>
      </c>
    </row>
    <row r="14">
      <c r="A14" s="5" t="inlineStr">
        <is>
          <t xml:space="preserve">    实收资本</t>
        </is>
      </c>
      <c r="C14" s="8">
        <f>Assumptions!C67+Assumptions!C56</f>
        <v/>
      </c>
      <c r="D14" s="8">
        <f>C14+Assumptions!D56</f>
        <v/>
      </c>
      <c r="E14" s="8">
        <f>D14+Assumptions!E56</f>
        <v/>
      </c>
      <c r="F14" s="8">
        <f>E14+Assumptions!F56</f>
        <v/>
      </c>
      <c r="G14" s="8">
        <f>F14+Assumptions!G56</f>
        <v/>
      </c>
    </row>
    <row r="15">
      <c r="A15" s="5" t="inlineStr">
        <is>
          <t xml:space="preserve">    未分配利润</t>
        </is>
      </c>
      <c r="B15" s="2" t="inlineStr">
        <is>
          <t>期初+NI，无分红</t>
        </is>
      </c>
      <c r="C15" s="8">
        <f>Assumptions!C66+HoldCo_IS!C14</f>
        <v/>
      </c>
      <c r="D15" s="8">
        <f>C15+HoldCo_IS!D14</f>
        <v/>
      </c>
      <c r="E15" s="8">
        <f>D15+HoldCo_IS!E14</f>
        <v/>
      </c>
      <c r="F15" s="8">
        <f>E15+HoldCo_IS!F14</f>
        <v/>
      </c>
      <c r="G15" s="8">
        <f>F15+HoldCo_IS!G14</f>
        <v/>
      </c>
    </row>
    <row r="16">
      <c r="A16" s="3" t="inlineStr">
        <is>
          <t>所有者权益合计</t>
        </is>
      </c>
      <c r="C16" s="29">
        <f>HoldCo_BS!C14+HoldCo_BS!C15</f>
        <v/>
      </c>
      <c r="D16" s="29">
        <f>HoldCo_BS!D14+HoldCo_BS!D15</f>
        <v/>
      </c>
      <c r="E16" s="29">
        <f>HoldCo_BS!E14+HoldCo_BS!E15</f>
        <v/>
      </c>
      <c r="F16" s="29">
        <f>HoldCo_BS!F14+HoldCo_BS!F15</f>
        <v/>
      </c>
      <c r="G16" s="29">
        <f>HoldCo_BS!G14+HoldCo_BS!G15</f>
        <v/>
      </c>
    </row>
    <row r="17">
      <c r="A17" s="3" t="inlineStr">
        <is>
          <t>负债+权益合计</t>
        </is>
      </c>
      <c r="C17" s="29">
        <f>HoldCo_BS!C13+HoldCo_BS!C16</f>
        <v/>
      </c>
      <c r="D17" s="29">
        <f>HoldCo_BS!D13+HoldCo_BS!D16</f>
        <v/>
      </c>
      <c r="E17" s="29">
        <f>HoldCo_BS!E13+HoldCo_BS!E16</f>
        <v/>
      </c>
      <c r="F17" s="29">
        <f>HoldCo_BS!F13+HoldCo_BS!F16</f>
        <v/>
      </c>
      <c r="G17" s="29">
        <f>HoldCo_BS!G13+HoldCo_BS!G16</f>
        <v/>
      </c>
    </row>
    <row r="18">
      <c r="A18" s="32" t="inlineStr">
        <is>
          <t>货币资金（倒挤）</t>
        </is>
      </c>
      <c r="B18" s="2" t="inlineStr">
        <is>
          <t>负债+权益−非现金资产</t>
        </is>
      </c>
      <c r="C18" s="33">
        <f>HoldCo_BS!C17-HoldCo_BS!C8</f>
        <v/>
      </c>
      <c r="D18" s="33">
        <f>HoldCo_BS!D17-HoldCo_BS!D8</f>
        <v/>
      </c>
      <c r="E18" s="33">
        <f>HoldCo_BS!E17-HoldCo_BS!E8</f>
        <v/>
      </c>
      <c r="F18" s="33">
        <f>HoldCo_BS!F17-HoldCo_BS!F8</f>
        <v/>
      </c>
      <c r="G18" s="33">
        <f>HoldCo_BS!G17-HoldCo_BS!G8</f>
        <v/>
      </c>
    </row>
    <row r="19">
      <c r="A19" s="3" t="inlineStr">
        <is>
          <t>资产总计</t>
        </is>
      </c>
      <c r="C19" s="29">
        <f>HoldCo_BS!C18+HoldCo_BS!C8</f>
        <v/>
      </c>
      <c r="D19" s="29">
        <f>HoldCo_BS!D18+HoldCo_BS!D8</f>
        <v/>
      </c>
      <c r="E19" s="29">
        <f>HoldCo_BS!E18+HoldCo_BS!E8</f>
        <v/>
      </c>
      <c r="F19" s="29">
        <f>HoldCo_BS!F18+HoldCo_BS!F8</f>
        <v/>
      </c>
      <c r="G19" s="29">
        <f>HoldCo_BS!G18+HoldCo_BS!G8</f>
        <v/>
      </c>
    </row>
    <row r="20">
      <c r="A20" s="3" t="inlineStr">
        <is>
          <t>★ BS 平衡差（应全 0）</t>
        </is>
      </c>
      <c r="C20" s="30" t="n"/>
      <c r="D20" s="30" t="n"/>
      <c r="E20" s="30" t="n"/>
      <c r="F20" s="30" t="n"/>
      <c r="G20" s="30" t="n"/>
    </row>
    <row r="21">
      <c r="A21" s="5" t="inlineStr">
        <is>
          <t xml:space="preserve">  资产 − 负债 − 权益</t>
        </is>
      </c>
      <c r="C21" s="34">
        <f>HoldCo_BS!C19-HoldCo_BS!C17</f>
        <v/>
      </c>
      <c r="D21" s="34">
        <f>HoldCo_BS!D19-HoldCo_BS!D17</f>
        <v/>
      </c>
      <c r="E21" s="34">
        <f>HoldCo_BS!E19-HoldCo_BS!E17</f>
        <v/>
      </c>
      <c r="F21" s="34">
        <f>HoldCo_BS!F19-HoldCo_BS!F17</f>
        <v/>
      </c>
      <c r="G21" s="34">
        <f>HoldCo_BS!G19-HoldCo_BS!G17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08080"/>
    <outlinePr summaryBelow="1" summaryRight="1"/>
    <pageSetUpPr/>
  </sheetPr>
  <dimension ref="A1:G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</cols>
  <sheetData>
    <row r="1">
      <c r="A1" s="15" t="inlineStr">
        <is>
          <t>智擎研究院 · 现金流量表（间接法）</t>
        </is>
      </c>
    </row>
    <row r="2">
      <c r="A2" s="2" t="inlineStr">
        <is>
          <t>单体 | 独立推导期末现金，与 BS 倒挤现金互为勾稽 | 万元</t>
        </is>
      </c>
    </row>
    <row r="3">
      <c r="A3" s="3" t="inlineStr">
        <is>
          <t>科目（万元）</t>
        </is>
      </c>
      <c r="B3" s="3" t="inlineStr">
        <is>
          <t>备注</t>
        </is>
      </c>
      <c r="C3" s="16" t="n">
        <v>2023</v>
      </c>
      <c r="D3" s="16" t="n">
        <v>2024</v>
      </c>
      <c r="E3" s="16" t="n">
        <v>2025</v>
      </c>
      <c r="F3" s="17" t="n">
        <v>2026</v>
      </c>
      <c r="G3" s="17" t="n">
        <v>2027</v>
      </c>
    </row>
    <row r="4">
      <c r="A4" s="5" t="inlineStr">
        <is>
          <t xml:space="preserve">    净利润</t>
        </is>
      </c>
      <c r="C4" s="8">
        <f>HoldCo_IS!C14</f>
        <v/>
      </c>
      <c r="D4" s="8">
        <f>HoldCo_IS!D14</f>
        <v/>
      </c>
      <c r="E4" s="8">
        <f>HoldCo_IS!E14</f>
        <v/>
      </c>
      <c r="F4" s="8">
        <f>HoldCo_IS!F14</f>
        <v/>
      </c>
      <c r="G4" s="8">
        <f>HoldCo_IS!G14</f>
        <v/>
      </c>
    </row>
    <row r="5">
      <c r="A5" s="5" t="inlineStr">
        <is>
          <t xml:space="preserve">    加：折旧摊销</t>
        </is>
      </c>
      <c r="C5" s="8">
        <f>Capex_Dep!C22</f>
        <v/>
      </c>
      <c r="D5" s="8">
        <f>Capex_Dep!D22</f>
        <v/>
      </c>
      <c r="E5" s="8">
        <f>Capex_Dep!E22</f>
        <v/>
      </c>
      <c r="F5" s="8">
        <f>Capex_Dep!F22</f>
        <v/>
      </c>
      <c r="G5" s="8">
        <f>Capex_Dep!G22</f>
        <v/>
      </c>
    </row>
    <row r="6">
      <c r="A6" s="5" t="inlineStr">
        <is>
          <t xml:space="preserve">    减：应收账款增加</t>
        </is>
      </c>
      <c r="C6" s="8">
        <f>-(HoldCo_BS!C4-(0))</f>
        <v/>
      </c>
      <c r="D6" s="8">
        <f>-(HoldCo_BS!D4-(HoldCo_BS!C4))</f>
        <v/>
      </c>
      <c r="E6" s="8">
        <f>-(HoldCo_BS!E4-(HoldCo_BS!D4))</f>
        <v/>
      </c>
      <c r="F6" s="8">
        <f>-(HoldCo_BS!F4-(HoldCo_BS!E4))</f>
        <v/>
      </c>
      <c r="G6" s="8">
        <f>-(HoldCo_BS!G4-(HoldCo_BS!F4))</f>
        <v/>
      </c>
    </row>
    <row r="7">
      <c r="A7" s="5" t="inlineStr">
        <is>
          <t xml:space="preserve">    内部往来净变动</t>
        </is>
      </c>
      <c r="B7" s="2" t="inlineStr">
        <is>
          <t>Δ应付−Δ应收</t>
        </is>
      </c>
      <c r="C7" s="8">
        <f>(HoldCo_BS!C11-(0))-(HoldCo_BS!C5-(0))</f>
        <v/>
      </c>
      <c r="D7" s="8">
        <f>(HoldCo_BS!D11-(HoldCo_BS!C11))-(HoldCo_BS!D5-(HoldCo_BS!C5))</f>
        <v/>
      </c>
      <c r="E7" s="8">
        <f>(HoldCo_BS!E11-(HoldCo_BS!D11))-(HoldCo_BS!E5-(HoldCo_BS!D5))</f>
        <v/>
      </c>
      <c r="F7" s="8">
        <f>(HoldCo_BS!F11-(HoldCo_BS!E11))-(HoldCo_BS!F5-(HoldCo_BS!E5))</f>
        <v/>
      </c>
      <c r="G7" s="8">
        <f>(HoldCo_BS!G11-(HoldCo_BS!F11))-(HoldCo_BS!G5-(HoldCo_BS!F5))</f>
        <v/>
      </c>
    </row>
    <row r="8">
      <c r="A8" s="5" t="inlineStr">
        <is>
          <t xml:space="preserve">    加：递延收益增加</t>
        </is>
      </c>
      <c r="C8" s="8">
        <f>HoldCo_BS!C12-(0)</f>
        <v/>
      </c>
      <c r="D8" s="8">
        <f>HoldCo_BS!D12-(HoldCo_BS!C12)</f>
        <v/>
      </c>
      <c r="E8" s="8">
        <f>HoldCo_BS!E12-(HoldCo_BS!D12)</f>
        <v/>
      </c>
      <c r="F8" s="8">
        <f>HoldCo_BS!F12-(HoldCo_BS!E12)</f>
        <v/>
      </c>
      <c r="G8" s="8">
        <f>HoldCo_BS!G12-(HoldCo_BS!F12)</f>
        <v/>
      </c>
    </row>
    <row r="9">
      <c r="A9" s="5" t="inlineStr">
        <is>
          <t xml:space="preserve">    加：应付账款增加</t>
        </is>
      </c>
      <c r="C9" s="8">
        <f>HoldCo_BS!C10-(0)</f>
        <v/>
      </c>
      <c r="D9" s="8">
        <f>HoldCo_BS!D10-(HoldCo_BS!C10)</f>
        <v/>
      </c>
      <c r="E9" s="8">
        <f>HoldCo_BS!E10-(HoldCo_BS!D10)</f>
        <v/>
      </c>
      <c r="F9" s="8">
        <f>HoldCo_BS!F10-(HoldCo_BS!E10)</f>
        <v/>
      </c>
      <c r="G9" s="8">
        <f>HoldCo_BS!G10-(HoldCo_BS!F10)</f>
        <v/>
      </c>
    </row>
    <row r="10">
      <c r="A10" s="3" t="inlineStr">
        <is>
          <t xml:space="preserve">    经营活动现金流净额</t>
        </is>
      </c>
      <c r="C10" s="29">
        <f>HoldCo_CF!C4+HoldCo_CF!C5+HoldCo_CF!C6+HoldCo_CF!C7+HoldCo_CF!C8+HoldCo_CF!C9</f>
        <v/>
      </c>
      <c r="D10" s="29">
        <f>HoldCo_CF!D4+HoldCo_CF!D5+HoldCo_CF!D6+HoldCo_CF!D7+HoldCo_CF!D8+HoldCo_CF!D9</f>
        <v/>
      </c>
      <c r="E10" s="29">
        <f>HoldCo_CF!E4+HoldCo_CF!E5+HoldCo_CF!E6+HoldCo_CF!E7+HoldCo_CF!E8+HoldCo_CF!E9</f>
        <v/>
      </c>
      <c r="F10" s="29">
        <f>HoldCo_CF!F4+HoldCo_CF!F5+HoldCo_CF!F6+HoldCo_CF!F7+HoldCo_CF!F8+HoldCo_CF!F9</f>
        <v/>
      </c>
      <c r="G10" s="29">
        <f>HoldCo_CF!G4+HoldCo_CF!G5+HoldCo_CF!G6+HoldCo_CF!G7+HoldCo_CF!G8+HoldCo_CF!G9</f>
        <v/>
      </c>
    </row>
    <row r="11">
      <c r="A11" s="5" t="inlineStr">
        <is>
          <t xml:space="preserve">    购建固定资产</t>
        </is>
      </c>
      <c r="C11" s="8">
        <f>-Capex_Dep!C5</f>
        <v/>
      </c>
      <c r="D11" s="8">
        <f>-Capex_Dep!D5</f>
        <v/>
      </c>
      <c r="E11" s="8">
        <f>-Capex_Dep!E5</f>
        <v/>
      </c>
      <c r="F11" s="8">
        <f>-Capex_Dep!F5</f>
        <v/>
      </c>
      <c r="G11" s="8">
        <f>-Capex_Dep!G5</f>
        <v/>
      </c>
    </row>
    <row r="12">
      <c r="A12" s="5" t="inlineStr">
        <is>
          <t xml:space="preserve">    对子公司增资</t>
        </is>
      </c>
      <c r="B12" s="2" t="inlineStr">
        <is>
          <t>长投增加</t>
        </is>
      </c>
      <c r="C12" s="8">
        <f>-(Assumptions!C57+Assumptions!C58+Assumptions!C59*0.8)</f>
        <v/>
      </c>
      <c r="D12" s="8">
        <f>-(Assumptions!D57+Assumptions!D58+Assumptions!D59*0.8)</f>
        <v/>
      </c>
      <c r="E12" s="8">
        <f>-(Assumptions!E57+Assumptions!E58+Assumptions!E59*0.8)</f>
        <v/>
      </c>
      <c r="F12" s="8">
        <f>-(Assumptions!F57+Assumptions!F58+Assumptions!F59*0.8)</f>
        <v/>
      </c>
      <c r="G12" s="8">
        <f>-(Assumptions!G57+Assumptions!G58+Assumptions!G59*0.8)</f>
        <v/>
      </c>
    </row>
    <row r="13">
      <c r="A13" s="3" t="inlineStr">
        <is>
          <t xml:space="preserve">    投资活动现金流净额</t>
        </is>
      </c>
      <c r="C13" s="29">
        <f>HoldCo_CF!C11+HoldCo_CF!C12</f>
        <v/>
      </c>
      <c r="D13" s="29">
        <f>HoldCo_CF!D11+HoldCo_CF!D12</f>
        <v/>
      </c>
      <c r="E13" s="29">
        <f>HoldCo_CF!E11+HoldCo_CF!E12</f>
        <v/>
      </c>
      <c r="F13" s="29">
        <f>HoldCo_CF!F11+HoldCo_CF!F12</f>
        <v/>
      </c>
      <c r="G13" s="29">
        <f>HoldCo_CF!G11+HoldCo_CF!G12</f>
        <v/>
      </c>
    </row>
    <row r="14">
      <c r="A14" s="5" t="inlineStr">
        <is>
          <t xml:space="preserve">    筹资：股权注资</t>
        </is>
      </c>
      <c r="C14" s="8">
        <f>Assumptions!C56</f>
        <v/>
      </c>
      <c r="D14" s="8">
        <f>Assumptions!D56</f>
        <v/>
      </c>
      <c r="E14" s="8">
        <f>Assumptions!E56</f>
        <v/>
      </c>
      <c r="F14" s="8">
        <f>Assumptions!F56</f>
        <v/>
      </c>
      <c r="G14" s="8">
        <f>Assumptions!G56</f>
        <v/>
      </c>
    </row>
    <row r="15">
      <c r="A15" s="3" t="inlineStr">
        <is>
          <t xml:space="preserve">    现金净变动</t>
        </is>
      </c>
      <c r="C15" s="29">
        <f>HoldCo_CF!C10+HoldCo_CF!C13+HoldCo_CF!C14</f>
        <v/>
      </c>
      <c r="D15" s="29">
        <f>HoldCo_CF!D10+HoldCo_CF!D13+HoldCo_CF!D14</f>
        <v/>
      </c>
      <c r="E15" s="29">
        <f>HoldCo_CF!E10+HoldCo_CF!E13+HoldCo_CF!E14</f>
        <v/>
      </c>
      <c r="F15" s="29">
        <f>HoldCo_CF!F10+HoldCo_CF!F13+HoldCo_CF!F14</f>
        <v/>
      </c>
      <c r="G15" s="29">
        <f>HoldCo_CF!G10+HoldCo_CF!G13+HoldCo_CF!G14</f>
        <v/>
      </c>
    </row>
    <row r="16">
      <c r="A16" s="3" t="inlineStr">
        <is>
          <t xml:space="preserve">    期末现金（CF 推导）</t>
        </is>
      </c>
      <c r="C16" s="29">
        <f>37000+HoldCo_CF!C15</f>
        <v/>
      </c>
      <c r="D16" s="29">
        <f>C16+HoldCo_CF!D15</f>
        <v/>
      </c>
      <c r="E16" s="29">
        <f>D16+HoldCo_CF!E15</f>
        <v/>
      </c>
      <c r="F16" s="29">
        <f>E16+HoldCo_CF!F15</f>
        <v/>
      </c>
      <c r="G16" s="29">
        <f>F16+HoldCo_CF!G15</f>
        <v/>
      </c>
    </row>
    <row r="17">
      <c r="A17" s="5" t="inlineStr">
        <is>
          <t xml:space="preserve">    期末现金（BS 倒挤）</t>
        </is>
      </c>
      <c r="C17" s="8">
        <f>HoldCo_BS!C18</f>
        <v/>
      </c>
      <c r="D17" s="8">
        <f>HoldCo_BS!D18</f>
        <v/>
      </c>
      <c r="E17" s="8">
        <f>HoldCo_BS!E18</f>
        <v/>
      </c>
      <c r="F17" s="8">
        <f>HoldCo_BS!F18</f>
        <v/>
      </c>
      <c r="G17" s="8">
        <f>HoldCo_BS!G18</f>
        <v/>
      </c>
    </row>
    <row r="18">
      <c r="A18" s="3" t="inlineStr">
        <is>
          <t>★ CF=BS 现金差异（应全 0）</t>
        </is>
      </c>
      <c r="C18" s="30" t="n"/>
      <c r="D18" s="30" t="n"/>
      <c r="E18" s="30" t="n"/>
      <c r="F18" s="30" t="n"/>
      <c r="G18" s="30" t="n"/>
    </row>
    <row r="19">
      <c r="A19" s="5" t="inlineStr">
        <is>
          <t xml:space="preserve">  CF推导 − BS倒挤</t>
        </is>
      </c>
      <c r="C19" s="34">
        <f>HoldCo_CF!C16-HoldCo_CF!C17</f>
        <v/>
      </c>
      <c r="D19" s="34">
        <f>HoldCo_CF!D16-HoldCo_CF!D17</f>
        <v/>
      </c>
      <c r="E19" s="34">
        <f>HoldCo_CF!E16-HoldCo_CF!E17</f>
        <v/>
      </c>
      <c r="F19" s="34">
        <f>HoldCo_CF!F16-HoldCo_CF!F17</f>
        <v/>
      </c>
      <c r="G19" s="34">
        <f>HoldCo_CF!G16-HoldCo_CF!G17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30A0"/>
    <outlinePr summaryBelow="1" summaryRight="1"/>
    <pageSetUpPr/>
  </sheetPr>
  <dimension ref="A1:G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</cols>
  <sheetData>
    <row r="1">
      <c r="A1" s="15" t="inlineStr">
        <is>
          <t>内部交易登记簿</t>
        </is>
      </c>
    </row>
    <row r="2">
      <c r="A2" s="2" t="inlineStr">
        <is>
          <t>四类关联交易 · 金额公式全链接单体表 | 万元</t>
        </is>
      </c>
    </row>
    <row r="3">
      <c r="A3" s="3" t="inlineStr">
        <is>
          <t>科目（万元）</t>
        </is>
      </c>
      <c r="B3" s="3" t="inlineStr">
        <is>
          <t>备注</t>
        </is>
      </c>
      <c r="C3" s="16" t="n">
        <v>2023</v>
      </c>
      <c r="D3" s="16" t="n">
        <v>2024</v>
      </c>
      <c r="E3" s="16" t="n">
        <v>2025</v>
      </c>
      <c r="F3" s="17" t="n">
        <v>2026</v>
      </c>
      <c r="G3" s="17" t="n">
        <v>2027</v>
      </c>
    </row>
    <row r="4">
      <c r="A4" s="18" t="inlineStr">
        <is>
          <t>── 当年交易额 ──</t>
        </is>
      </c>
    </row>
    <row r="5">
      <c r="A5" s="5" t="inlineStr">
        <is>
          <t xml:space="preserve">    T1 license · 研究院 → 智擎云</t>
        </is>
      </c>
      <c r="C5" s="8">
        <f>Cloud_IS!C4*Assumptions!C48</f>
        <v/>
      </c>
      <c r="D5" s="8">
        <f>Cloud_IS!D4*Assumptions!D48</f>
        <v/>
      </c>
      <c r="E5" s="8">
        <f>Cloud_IS!E4*Assumptions!E48</f>
        <v/>
      </c>
      <c r="F5" s="8">
        <f>Cloud_IS!F4*Assumptions!F48</f>
        <v/>
      </c>
      <c r="G5" s="8">
        <f>Cloud_IS!G4*Assumptions!G48</f>
        <v/>
      </c>
    </row>
    <row r="6">
      <c r="A6" s="5" t="inlineStr">
        <is>
          <t xml:space="preserve">    T1 license · 研究院 → 智擎行业</t>
        </is>
      </c>
      <c r="C6" s="8">
        <f>Ind_IS!C6*Assumptions!C49</f>
        <v/>
      </c>
      <c r="D6" s="8">
        <f>Ind_IS!D6*Assumptions!D49</f>
        <v/>
      </c>
      <c r="E6" s="8">
        <f>Ind_IS!E6*Assumptions!E49</f>
        <v/>
      </c>
      <c r="F6" s="8">
        <f>Ind_IS!F6*Assumptions!F49</f>
        <v/>
      </c>
      <c r="G6" s="8">
        <f>Ind_IS!G6*Assumptions!G49</f>
        <v/>
      </c>
    </row>
    <row r="7">
      <c r="A7" s="5" t="inlineStr">
        <is>
          <t xml:space="preserve">    T1 license · 研究院 → 智擎互联</t>
        </is>
      </c>
      <c r="C7" s="8">
        <f>Toc_IS!C6*Assumptions!C50</f>
        <v/>
      </c>
      <c r="D7" s="8">
        <f>Toc_IS!D6*Assumptions!D50</f>
        <v/>
      </c>
      <c r="E7" s="8">
        <f>Toc_IS!E6*Assumptions!E50</f>
        <v/>
      </c>
      <c r="F7" s="8">
        <f>Toc_IS!F6*Assumptions!F50</f>
        <v/>
      </c>
      <c r="G7" s="8">
        <f>Toc_IS!G6*Assumptions!G50</f>
        <v/>
      </c>
    </row>
    <row r="8">
      <c r="A8" s="5" t="inlineStr">
        <is>
          <t xml:space="preserve">    T2 定制研发 · 研究院 → 智擎行业</t>
        </is>
      </c>
      <c r="C8" s="8">
        <f>Assumptions!C51</f>
        <v/>
      </c>
      <c r="D8" s="8">
        <f>Assumptions!D51</f>
        <v/>
      </c>
      <c r="E8" s="8">
        <f>Assumptions!E51</f>
        <v/>
      </c>
      <c r="F8" s="8">
        <f>Assumptions!F51</f>
        <v/>
      </c>
      <c r="G8" s="8">
        <f>Assumptions!G51</f>
        <v/>
      </c>
    </row>
    <row r="9">
      <c r="A9" s="5" t="inlineStr">
        <is>
          <t xml:space="preserve">    T3 算力服务 · 智擎云 → 智擎互联</t>
        </is>
      </c>
      <c r="C9" s="8">
        <f>Assumptions!C31*Assumptions!C35*12*Assumptions!C52</f>
        <v/>
      </c>
      <c r="D9" s="8">
        <f>Assumptions!D31*Assumptions!D35*12*Assumptions!D52</f>
        <v/>
      </c>
      <c r="E9" s="8">
        <f>Assumptions!E31*Assumptions!E35*12*Assumptions!E52</f>
        <v/>
      </c>
      <c r="F9" s="8">
        <f>Assumptions!F31*Assumptions!F35*12*Assumptions!F52</f>
        <v/>
      </c>
      <c r="G9" s="8">
        <f>Assumptions!G31*Assumptions!G35*12*Assumptions!G52</f>
        <v/>
      </c>
    </row>
    <row r="10">
      <c r="A10" s="3" t="inlineStr">
        <is>
          <t xml:space="preserve">    关联交易合计</t>
        </is>
      </c>
      <c r="C10" s="29">
        <f>SUM(IC_Register!C5,IC_Register!C6,IC_Register!C7,IC_Register!C8,IC_Register!C9)</f>
        <v/>
      </c>
      <c r="D10" s="29">
        <f>SUM(IC_Register!D5,IC_Register!D6,IC_Register!D7,IC_Register!D8,IC_Register!D9)</f>
        <v/>
      </c>
      <c r="E10" s="29">
        <f>SUM(IC_Register!E5,IC_Register!E6,IC_Register!E7,IC_Register!E8,IC_Register!E9)</f>
        <v/>
      </c>
      <c r="F10" s="29">
        <f>SUM(IC_Register!F5,IC_Register!F6,IC_Register!F7,IC_Register!F8,IC_Register!F9)</f>
        <v/>
      </c>
      <c r="G10" s="29">
        <f>SUM(IC_Register!G5,IC_Register!G6,IC_Register!G7,IC_Register!G8,IC_Register!G9)</f>
        <v/>
      </c>
    </row>
    <row r="11">
      <c r="A11" s="18" t="inlineStr">
        <is>
          <t>── 期末往来余额（账期60天挂账）──</t>
        </is>
      </c>
    </row>
    <row r="12">
      <c r="A12" s="5" t="inlineStr">
        <is>
          <t xml:space="preserve">    研究院 应收三家（借方）</t>
        </is>
      </c>
      <c r="C12" s="8">
        <f>(IC_Register!C5+IC_Register!C6+IC_Register!C7+IC_Register!C8)*Assumptions!C8/365</f>
        <v/>
      </c>
      <c r="D12" s="8">
        <f>(IC_Register!D5+IC_Register!D6+IC_Register!D7+IC_Register!D8)*Assumptions!D8/365</f>
        <v/>
      </c>
      <c r="E12" s="8">
        <f>(IC_Register!E5+IC_Register!E6+IC_Register!E7+IC_Register!E8)*Assumptions!E8/365</f>
        <v/>
      </c>
      <c r="F12" s="8">
        <f>(IC_Register!F5+IC_Register!F6+IC_Register!F7+IC_Register!F8)*Assumptions!F8/365</f>
        <v/>
      </c>
      <c r="G12" s="8">
        <f>(IC_Register!G5+IC_Register!G6+IC_Register!G7+IC_Register!G8)*Assumptions!G8/365</f>
        <v/>
      </c>
    </row>
    <row r="13">
      <c r="A13" s="5" t="inlineStr">
        <is>
          <t xml:space="preserve">    智擎云 应收互联（T3）</t>
        </is>
      </c>
      <c r="B13" s="2" t="inlineStr">
        <is>
          <t>2027 未含未开票 220</t>
        </is>
      </c>
      <c r="C13" s="8">
        <f>IC_Register!C9*Assumptions!C8/365</f>
        <v/>
      </c>
      <c r="D13" s="8">
        <f>IC_Register!D9*Assumptions!D8/365</f>
        <v/>
      </c>
      <c r="E13" s="8">
        <f>IC_Register!E9*Assumptions!E8/365</f>
        <v/>
      </c>
      <c r="F13" s="8">
        <f>IC_Register!F9*Assumptions!F8/365</f>
        <v/>
      </c>
      <c r="G13" s="8">
        <f>IC_Register!G9*Assumptions!G8/365-Assumptions!G54</f>
        <v/>
      </c>
    </row>
    <row r="14">
      <c r="A14" s="5" t="inlineStr">
        <is>
          <t xml:space="preserve">    智擎云 应付研究院（T1）</t>
        </is>
      </c>
      <c r="C14" s="8">
        <f>IC_Register!C5*Assumptions!C8/365</f>
        <v/>
      </c>
      <c r="D14" s="8">
        <f>IC_Register!D5*Assumptions!D8/365</f>
        <v/>
      </c>
      <c r="E14" s="8">
        <f>IC_Register!E5*Assumptions!E8/365</f>
        <v/>
      </c>
      <c r="F14" s="8">
        <f>IC_Register!F5*Assumptions!F8/365</f>
        <v/>
      </c>
      <c r="G14" s="8">
        <f>IC_Register!G5*Assumptions!G8/365</f>
        <v/>
      </c>
    </row>
    <row r="15">
      <c r="A15" s="5" t="inlineStr">
        <is>
          <t xml:space="preserve">    智擎行业 应付研究院（T1+T2）</t>
        </is>
      </c>
      <c r="C15" s="8">
        <f>(IC_Register!C6+IC_Register!C8)*Assumptions!C8/365</f>
        <v/>
      </c>
      <c r="D15" s="8">
        <f>(IC_Register!D6+IC_Register!D8)*Assumptions!D8/365</f>
        <v/>
      </c>
      <c r="E15" s="8">
        <f>(IC_Register!E6+IC_Register!E8)*Assumptions!E8/365</f>
        <v/>
      </c>
      <c r="F15" s="8">
        <f>(IC_Register!F6+IC_Register!F8)*Assumptions!F8/365</f>
        <v/>
      </c>
      <c r="G15" s="8">
        <f>(IC_Register!G6+IC_Register!G8)*Assumptions!G8/365</f>
        <v/>
      </c>
    </row>
    <row r="16">
      <c r="A16" s="5" t="inlineStr">
        <is>
          <t xml:space="preserve">    智擎互联 应付（T3+T1，含在途）</t>
        </is>
      </c>
      <c r="C16" s="8">
        <f>(IC_Register!C9+IC_Register!C7)*Assumptions!C8/365</f>
        <v/>
      </c>
      <c r="D16" s="8">
        <f>(IC_Register!D9+IC_Register!D7)*Assumptions!D8/365</f>
        <v/>
      </c>
      <c r="E16" s="8">
        <f>(IC_Register!E9+IC_Register!E7)*Assumptions!E8/365</f>
        <v/>
      </c>
      <c r="F16" s="8">
        <f>(IC_Register!F9+IC_Register!F7)*Assumptions!F8/365</f>
        <v/>
      </c>
      <c r="G16" s="8">
        <f>(IC_Register!G9+IC_Register!G7)*Assumptions!G8/365</f>
        <v/>
      </c>
    </row>
    <row r="17">
      <c r="A17" s="3" t="inlineStr">
        <is>
          <t xml:space="preserve">    内部应收合计</t>
        </is>
      </c>
      <c r="C17" s="29">
        <f>IC_Register!C12+IC_Register!C13</f>
        <v/>
      </c>
      <c r="D17" s="29">
        <f>IC_Register!D12+IC_Register!D13</f>
        <v/>
      </c>
      <c r="E17" s="29">
        <f>IC_Register!E12+IC_Register!E13</f>
        <v/>
      </c>
      <c r="F17" s="29">
        <f>IC_Register!F12+IC_Register!F13</f>
        <v/>
      </c>
      <c r="G17" s="29">
        <f>IC_Register!G12+IC_Register!G13</f>
        <v/>
      </c>
    </row>
    <row r="18">
      <c r="A18" s="3" t="inlineStr">
        <is>
          <t xml:space="preserve">    内部应付合计</t>
        </is>
      </c>
      <c r="C18" s="29">
        <f>IC_Register!C14+IC_Register!C15+IC_Register!C16</f>
        <v/>
      </c>
      <c r="D18" s="29">
        <f>IC_Register!D14+IC_Register!D15+IC_Register!D16</f>
        <v/>
      </c>
      <c r="E18" s="29">
        <f>IC_Register!E14+IC_Register!E15+IC_Register!E16</f>
        <v/>
      </c>
      <c r="F18" s="29">
        <f>IC_Register!F14+IC_Register!F15+IC_Register!F16</f>
        <v/>
      </c>
      <c r="G18" s="29">
        <f>IC_Register!G14+IC_Register!G15+IC_Register!G16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030A0"/>
    <outlinePr summaryBelow="1" summaryRight="1"/>
    <pageSetUpPr/>
  </sheetPr>
  <dimension ref="A1:G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</cols>
  <sheetData>
    <row r="1">
      <c r="A1" s="15" t="inlineStr">
        <is>
          <t>关联方对账矩阵 · 双边核对 + 在途调节</t>
        </is>
      </c>
    </row>
    <row r="2">
      <c r="A2" s="2" t="inlineStr">
        <is>
          <t>差异可见 → 调节 → 归零 | 万元</t>
        </is>
      </c>
    </row>
    <row r="3">
      <c r="A3" s="3" t="inlineStr">
        <is>
          <t>科目（万元）</t>
        </is>
      </c>
      <c r="B3" s="3" t="inlineStr">
        <is>
          <t>备注</t>
        </is>
      </c>
      <c r="C3" s="16" t="n">
        <v>2023</v>
      </c>
      <c r="D3" s="16" t="n">
        <v>2024</v>
      </c>
      <c r="E3" s="16" t="n">
        <v>2025</v>
      </c>
      <c r="F3" s="17" t="n">
        <v>2026</v>
      </c>
      <c r="G3" s="17" t="n">
        <v>2027</v>
      </c>
    </row>
    <row r="4">
      <c r="A4" s="18" t="inlineStr">
        <is>
          <t>── 双边核对（A 账上应收 B  vs  B 账上应付 A）──</t>
        </is>
      </c>
    </row>
    <row r="5">
      <c r="A5" s="5" t="inlineStr">
        <is>
          <t xml:space="preserve">    研究院 ↔ 智擎云：研究院应收</t>
        </is>
      </c>
      <c r="C5" s="8">
        <f>IC_Register!C5*Assumptions!C8/365</f>
        <v/>
      </c>
      <c r="D5" s="8">
        <f>IC_Register!D5*Assumptions!D8/365</f>
        <v/>
      </c>
      <c r="E5" s="8">
        <f>IC_Register!E5*Assumptions!E8/365</f>
        <v/>
      </c>
      <c r="F5" s="8">
        <f>IC_Register!F5*Assumptions!F8/365</f>
        <v/>
      </c>
      <c r="G5" s="8">
        <f>IC_Register!G5*Assumptions!G8/365</f>
        <v/>
      </c>
    </row>
    <row r="6">
      <c r="A6" s="5" t="inlineStr">
        <is>
          <t xml:space="preserve">    研究院 ↔ 智擎云：云应付</t>
        </is>
      </c>
      <c r="C6" s="8">
        <f>IC_Register!C14</f>
        <v/>
      </c>
      <c r="D6" s="8">
        <f>IC_Register!D14</f>
        <v/>
      </c>
      <c r="E6" s="8">
        <f>IC_Register!E14</f>
        <v/>
      </c>
      <c r="F6" s="8">
        <f>IC_Register!F14</f>
        <v/>
      </c>
      <c r="G6" s="8">
        <f>IC_Register!G14</f>
        <v/>
      </c>
    </row>
    <row r="7">
      <c r="A7" s="3" t="inlineStr">
        <is>
          <t xml:space="preserve">    差异</t>
        </is>
      </c>
      <c r="C7" s="29">
        <f>IC_Recon!C5-IC_Recon!C6</f>
        <v/>
      </c>
      <c r="D7" s="29">
        <f>IC_Recon!D5-IC_Recon!D6</f>
        <v/>
      </c>
      <c r="E7" s="29">
        <f>IC_Recon!E5-IC_Recon!E6</f>
        <v/>
      </c>
      <c r="F7" s="29">
        <f>IC_Recon!F5-IC_Recon!F6</f>
        <v/>
      </c>
      <c r="G7" s="29">
        <f>IC_Recon!G5-IC_Recon!G6</f>
        <v/>
      </c>
    </row>
    <row r="9">
      <c r="A9" s="5" t="inlineStr">
        <is>
          <t xml:space="preserve">    研究院 ↔ 智擎行业：研究院应收</t>
        </is>
      </c>
      <c r="C9" s="8">
        <f>(IC_Register!C6+IC_Register!C8)*Assumptions!C8/365</f>
        <v/>
      </c>
      <c r="D9" s="8">
        <f>(IC_Register!D6+IC_Register!D8)*Assumptions!D8/365</f>
        <v/>
      </c>
      <c r="E9" s="8">
        <f>(IC_Register!E6+IC_Register!E8)*Assumptions!E8/365</f>
        <v/>
      </c>
      <c r="F9" s="8">
        <f>(IC_Register!F6+IC_Register!F8)*Assumptions!F8/365</f>
        <v/>
      </c>
      <c r="G9" s="8">
        <f>(IC_Register!G6+IC_Register!G8)*Assumptions!G8/365</f>
        <v/>
      </c>
    </row>
    <row r="10">
      <c r="A10" s="5" t="inlineStr">
        <is>
          <t xml:space="preserve">    研究院 ↔ 智擎行业：行业应付</t>
        </is>
      </c>
      <c r="C10" s="8">
        <f>IC_Register!C15</f>
        <v/>
      </c>
      <c r="D10" s="8">
        <f>IC_Register!D15</f>
        <v/>
      </c>
      <c r="E10" s="8">
        <f>IC_Register!E15</f>
        <v/>
      </c>
      <c r="F10" s="8">
        <f>IC_Register!F15</f>
        <v/>
      </c>
      <c r="G10" s="8">
        <f>IC_Register!G15</f>
        <v/>
      </c>
    </row>
    <row r="11">
      <c r="A11" s="3" t="inlineStr">
        <is>
          <t xml:space="preserve">    差异</t>
        </is>
      </c>
      <c r="C11" s="29">
        <f>IC_Recon!C9-IC_Recon!C10</f>
        <v/>
      </c>
      <c r="D11" s="29">
        <f>IC_Recon!D9-IC_Recon!D10</f>
        <v/>
      </c>
      <c r="E11" s="29">
        <f>IC_Recon!E9-IC_Recon!E10</f>
        <v/>
      </c>
      <c r="F11" s="29">
        <f>IC_Recon!F9-IC_Recon!F10</f>
        <v/>
      </c>
      <c r="G11" s="29">
        <f>IC_Recon!G9-IC_Recon!G10</f>
        <v/>
      </c>
    </row>
    <row r="13">
      <c r="A13" s="5" t="inlineStr">
        <is>
          <t xml:space="preserve">    研究院 ↔ 智擎互联：研究院应收</t>
        </is>
      </c>
      <c r="C13" s="8">
        <f>IC_Register!C7*Assumptions!C8/365</f>
        <v/>
      </c>
      <c r="D13" s="8">
        <f>IC_Register!D7*Assumptions!D8/365</f>
        <v/>
      </c>
      <c r="E13" s="8">
        <f>IC_Register!E7*Assumptions!E8/365</f>
        <v/>
      </c>
      <c r="F13" s="8">
        <f>IC_Register!F7*Assumptions!F8/365</f>
        <v/>
      </c>
      <c r="G13" s="8">
        <f>IC_Register!G7*Assumptions!G8/365</f>
        <v/>
      </c>
    </row>
    <row r="14">
      <c r="A14" s="5" t="inlineStr">
        <is>
          <t xml:space="preserve">    研究院 ↔ 智擎互联：互联应付（T1部分）</t>
        </is>
      </c>
      <c r="C14" s="8">
        <f>IC_Register!C7*Assumptions!C8/365</f>
        <v/>
      </c>
      <c r="D14" s="8">
        <f>IC_Register!D7*Assumptions!D8/365</f>
        <v/>
      </c>
      <c r="E14" s="8">
        <f>IC_Register!E7*Assumptions!E8/365</f>
        <v/>
      </c>
      <c r="F14" s="8">
        <f>IC_Register!F7*Assumptions!F8/365</f>
        <v/>
      </c>
      <c r="G14" s="8">
        <f>IC_Register!G7*Assumptions!G8/365</f>
        <v/>
      </c>
    </row>
    <row r="15">
      <c r="A15" s="3" t="inlineStr">
        <is>
          <t xml:space="preserve">    差异</t>
        </is>
      </c>
      <c r="C15" s="29">
        <f>IC_Recon!C13-IC_Recon!C14</f>
        <v/>
      </c>
      <c r="D15" s="29">
        <f>IC_Recon!D13-IC_Recon!D14</f>
        <v/>
      </c>
      <c r="E15" s="29">
        <f>IC_Recon!E13-IC_Recon!E14</f>
        <v/>
      </c>
      <c r="F15" s="29">
        <f>IC_Recon!F13-IC_Recon!F14</f>
        <v/>
      </c>
      <c r="G15" s="29">
        <f>IC_Recon!G13-IC_Recon!G14</f>
        <v/>
      </c>
    </row>
    <row r="17">
      <c r="A17" s="5" t="inlineStr">
        <is>
          <t xml:space="preserve">    智擎云 ↔ 智擎互联：云应收（未开票−220）</t>
        </is>
      </c>
      <c r="C17" s="8">
        <f>IC_Register!C13</f>
        <v/>
      </c>
      <c r="D17" s="8">
        <f>IC_Register!D13</f>
        <v/>
      </c>
      <c r="E17" s="8">
        <f>IC_Register!E13</f>
        <v/>
      </c>
      <c r="F17" s="8">
        <f>IC_Register!F13</f>
        <v/>
      </c>
      <c r="G17" s="8">
        <f>IC_Register!G13</f>
        <v/>
      </c>
    </row>
    <row r="18">
      <c r="A18" s="5" t="inlineStr">
        <is>
          <t xml:space="preserve">    智擎云 ↔ 智擎互联：互联应付（全额挂账）</t>
        </is>
      </c>
      <c r="C18" s="8">
        <f>IC_Register!C9*Assumptions!C8/365</f>
        <v/>
      </c>
      <c r="D18" s="8">
        <f>IC_Register!D9*Assumptions!D8/365</f>
        <v/>
      </c>
      <c r="E18" s="8">
        <f>IC_Register!E9*Assumptions!E8/365</f>
        <v/>
      </c>
      <c r="F18" s="8">
        <f>IC_Register!F9*Assumptions!F8/365</f>
        <v/>
      </c>
      <c r="G18" s="8">
        <f>IC_Register!G9*Assumptions!G8/365</f>
        <v/>
      </c>
    </row>
    <row r="19">
      <c r="A19" s="35" t="inlineStr">
        <is>
          <t xml:space="preserve">    差异（2027 = 在途 220）</t>
        </is>
      </c>
      <c r="C19" s="36">
        <f>IC_Recon!C17-IC_Recon!C18</f>
        <v/>
      </c>
      <c r="D19" s="36">
        <f>IC_Recon!D17-IC_Recon!D18</f>
        <v/>
      </c>
      <c r="E19" s="36">
        <f>IC_Recon!E17-IC_Recon!E18</f>
        <v/>
      </c>
      <c r="F19" s="36">
        <f>IC_Recon!F17-IC_Recon!F18</f>
        <v/>
      </c>
      <c r="G19" s="36">
        <f>IC_Recon!G17-IC_Recon!G18</f>
        <v/>
      </c>
    </row>
    <row r="20">
      <c r="A20" s="18" t="inlineStr">
        <is>
          <t>── 在途调节表（cut-off：互联12月已确认，云次年1月开票）──</t>
        </is>
      </c>
    </row>
    <row r="21">
      <c r="A21" s="5" t="inlineStr">
        <is>
          <t xml:space="preserve">    调节前差异</t>
        </is>
      </c>
      <c r="C21" s="8">
        <f>IC_Recon!C19</f>
        <v/>
      </c>
      <c r="D21" s="8">
        <f>IC_Recon!D19</f>
        <v/>
      </c>
      <c r="E21" s="8">
        <f>IC_Recon!E19</f>
        <v/>
      </c>
      <c r="F21" s="8">
        <f>IC_Recon!F19</f>
        <v/>
      </c>
      <c r="G21" s="8">
        <f>IC_Recon!G19</f>
        <v/>
      </c>
    </row>
    <row r="22">
      <c r="A22" s="5" t="inlineStr">
        <is>
          <t xml:space="preserve">    加：云未开票在途服务</t>
        </is>
      </c>
      <c r="B22" s="2" t="inlineStr">
        <is>
          <t>服务已提供、发票在途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>
        <f>Assumptions!G54</f>
        <v/>
      </c>
    </row>
    <row r="23">
      <c r="A23" s="32" t="inlineStr">
        <is>
          <t xml:space="preserve">    调节后差异（应全 0）</t>
        </is>
      </c>
      <c r="C23" s="33">
        <f>IC_Recon!C21+IC_Recon!C22</f>
        <v/>
      </c>
      <c r="D23" s="33">
        <f>IC_Recon!D21+IC_Recon!D22</f>
        <v/>
      </c>
      <c r="E23" s="33">
        <f>IC_Recon!E21+IC_Recon!E22</f>
        <v/>
      </c>
      <c r="F23" s="33">
        <f>IC_Recon!F21+IC_Recon!F22</f>
        <v/>
      </c>
      <c r="G23" s="33">
        <f>IC_Recon!G21+IC_Recon!G22</f>
        <v/>
      </c>
    </row>
    <row r="25">
      <c r="A25" s="3" t="inlineStr">
        <is>
          <t xml:space="preserve">    合并抵消口径（双边孰低=调节后应收方）</t>
        </is>
      </c>
      <c r="B25" s="2" t="inlineStr">
        <is>
          <t>Eliminations E2 引用此行</t>
        </is>
      </c>
      <c r="C25" s="29">
        <f>IC_Recon!C17+IC_Recon!C22</f>
        <v/>
      </c>
      <c r="D25" s="29">
        <f>IC_Recon!D17+IC_Recon!D22</f>
        <v/>
      </c>
      <c r="E25" s="29">
        <f>IC_Recon!E17+IC_Recon!E22</f>
        <v/>
      </c>
      <c r="F25" s="29">
        <f>IC_Recon!F17+IC_Recon!F22</f>
        <v/>
      </c>
      <c r="G25" s="29">
        <f>IC_Recon!G17+IC_Recon!G22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0B050"/>
    <outlinePr summaryBelow="1" summaryRight="1"/>
    <pageSetUpPr/>
  </sheetPr>
  <dimension ref="A1:G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</cols>
  <sheetData>
    <row r="1">
      <c r="A1" s="15" t="inlineStr">
        <is>
          <t>合并抵消分录底稿</t>
        </is>
      </c>
    </row>
    <row r="2">
      <c r="A2" s="2" t="inlineStr">
        <is>
          <t>E0 长投×权益 · E1 关联交易 · E2 内部往来 · E3 少数股东 | 万元</t>
        </is>
      </c>
    </row>
    <row r="3">
      <c r="A3" s="3" t="inlineStr">
        <is>
          <t>科目（万元）</t>
        </is>
      </c>
      <c r="B3" s="3" t="inlineStr">
        <is>
          <t>备注</t>
        </is>
      </c>
      <c r="C3" s="16" t="n">
        <v>2023</v>
      </c>
      <c r="D3" s="16" t="n">
        <v>2024</v>
      </c>
      <c r="E3" s="16" t="n">
        <v>2025</v>
      </c>
      <c r="F3" s="17" t="n">
        <v>2026</v>
      </c>
      <c r="G3" s="17" t="n">
        <v>2027</v>
      </c>
    </row>
    <row r="4">
      <c r="A4" s="18" t="inlineStr">
        <is>
          <t>── E0 长期股权投资 × 子公司权益（母公司份额）──</t>
        </is>
      </c>
    </row>
    <row r="5">
      <c r="A5" s="5" t="inlineStr">
        <is>
          <t xml:space="preserve">    借：实收资本 · 智擎云</t>
        </is>
      </c>
      <c r="C5" s="8">
        <f>Cloud_BS_CF!C13</f>
        <v/>
      </c>
      <c r="D5" s="8">
        <f>Cloud_BS_CF!D13</f>
        <v/>
      </c>
      <c r="E5" s="8">
        <f>Cloud_BS_CF!E13</f>
        <v/>
      </c>
      <c r="F5" s="8">
        <f>Cloud_BS_CF!F13</f>
        <v/>
      </c>
      <c r="G5" s="8">
        <f>Cloud_BS_CF!G13</f>
        <v/>
      </c>
    </row>
    <row r="6">
      <c r="A6" s="5" t="inlineStr">
        <is>
          <t xml:space="preserve">    借：未分配利润 · 智擎云</t>
        </is>
      </c>
      <c r="C6" s="8">
        <f>Cloud_BS_CF!C14</f>
        <v/>
      </c>
      <c r="D6" s="8">
        <f>Cloud_BS_CF!D14</f>
        <v/>
      </c>
      <c r="E6" s="8">
        <f>Cloud_BS_CF!E14</f>
        <v/>
      </c>
      <c r="F6" s="8">
        <f>Cloud_BS_CF!F14</f>
        <v/>
      </c>
      <c r="G6" s="8">
        <f>Cloud_BS_CF!G14</f>
        <v/>
      </c>
    </row>
    <row r="7">
      <c r="A7" s="5" t="inlineStr">
        <is>
          <t xml:space="preserve">    贷：长投 · 智擎云（成本法）</t>
        </is>
      </c>
      <c r="C7" s="8">
        <f>10000+SUM(Assumptions!$C57:C57)</f>
        <v/>
      </c>
      <c r="D7" s="8">
        <f>10000+SUM(Assumptions!$C57:D57)</f>
        <v/>
      </c>
      <c r="E7" s="8">
        <f>10000+SUM(Assumptions!$C57:E57)</f>
        <v/>
      </c>
      <c r="F7" s="8">
        <f>10000+SUM(Assumptions!$C57:F57)</f>
        <v/>
      </c>
      <c r="G7" s="8">
        <f>10000+SUM(Assumptions!$C57:G57)</f>
        <v/>
      </c>
    </row>
    <row r="8">
      <c r="A8" s="5" t="inlineStr">
        <is>
          <t xml:space="preserve">    借：实收资本 · 智擎行业</t>
        </is>
      </c>
      <c r="C8" s="8">
        <f>Ind_BS_CF!C10</f>
        <v/>
      </c>
      <c r="D8" s="8">
        <f>Ind_BS_CF!D10</f>
        <v/>
      </c>
      <c r="E8" s="8">
        <f>Ind_BS_CF!E10</f>
        <v/>
      </c>
      <c r="F8" s="8">
        <f>Ind_BS_CF!F10</f>
        <v/>
      </c>
      <c r="G8" s="8">
        <f>Ind_BS_CF!G10</f>
        <v/>
      </c>
    </row>
    <row r="9">
      <c r="A9" s="5" t="inlineStr">
        <is>
          <t xml:space="preserve">    借：未分配利润 · 智擎行业</t>
        </is>
      </c>
      <c r="C9" s="8">
        <f>Ind_BS_CF!C11</f>
        <v/>
      </c>
      <c r="D9" s="8">
        <f>Ind_BS_CF!D11</f>
        <v/>
      </c>
      <c r="E9" s="8">
        <f>Ind_BS_CF!E11</f>
        <v/>
      </c>
      <c r="F9" s="8">
        <f>Ind_BS_CF!F11</f>
        <v/>
      </c>
      <c r="G9" s="8">
        <f>Ind_BS_CF!G11</f>
        <v/>
      </c>
    </row>
    <row r="10">
      <c r="A10" s="5" t="inlineStr">
        <is>
          <t xml:space="preserve">    贷：长投 · 智擎行业（成本法）</t>
        </is>
      </c>
      <c r="C10" s="8">
        <f>8000+SUM(Assumptions!$C58:C58)</f>
        <v/>
      </c>
      <c r="D10" s="8">
        <f>8000+SUM(Assumptions!$C58:D58)</f>
        <v/>
      </c>
      <c r="E10" s="8">
        <f>8000+SUM(Assumptions!$C58:E58)</f>
        <v/>
      </c>
      <c r="F10" s="8">
        <f>8000+SUM(Assumptions!$C58:F58)</f>
        <v/>
      </c>
      <c r="G10" s="8">
        <f>8000+SUM(Assumptions!$C58:G58)</f>
        <v/>
      </c>
    </row>
    <row r="11">
      <c r="A11" s="5" t="inlineStr">
        <is>
          <t xml:space="preserve">    借：实收资本 · 智擎互联</t>
        </is>
      </c>
      <c r="C11" s="8">
        <f>Toc_BS_CF!C10*0.8</f>
        <v/>
      </c>
      <c r="D11" s="8">
        <f>Toc_BS_CF!D10*0.8</f>
        <v/>
      </c>
      <c r="E11" s="8">
        <f>Toc_BS_CF!E10*0.8</f>
        <v/>
      </c>
      <c r="F11" s="8">
        <f>Toc_BS_CF!F10*0.8</f>
        <v/>
      </c>
      <c r="G11" s="8">
        <f>Toc_BS_CF!G10*0.8</f>
        <v/>
      </c>
    </row>
    <row r="12">
      <c r="A12" s="5" t="inlineStr">
        <is>
          <t xml:space="preserve">    借：未分配利润 · 智擎互联</t>
        </is>
      </c>
      <c r="C12" s="8">
        <f>Toc_BS_CF!C11*0.8</f>
        <v/>
      </c>
      <c r="D12" s="8">
        <f>Toc_BS_CF!D11*0.8</f>
        <v/>
      </c>
      <c r="E12" s="8">
        <f>Toc_BS_CF!E11*0.8</f>
        <v/>
      </c>
      <c r="F12" s="8">
        <f>Toc_BS_CF!F11*0.8</f>
        <v/>
      </c>
      <c r="G12" s="8">
        <f>Toc_BS_CF!G11*0.8</f>
        <v/>
      </c>
    </row>
    <row r="13">
      <c r="A13" s="5" t="inlineStr">
        <is>
          <t xml:space="preserve">    贷：长投 · 智擎互联（成本法）</t>
        </is>
      </c>
      <c r="C13" s="8">
        <f>5000+SUM(Assumptions!$C59:C59)*0.8</f>
        <v/>
      </c>
      <c r="D13" s="8">
        <f>5000+SUM(Assumptions!$C59:D59)*0.8</f>
        <v/>
      </c>
      <c r="E13" s="8">
        <f>5000+SUM(Assumptions!$C59:E59)*0.8</f>
        <v/>
      </c>
      <c r="F13" s="8">
        <f>5000+SUM(Assumptions!$C59:F59)*0.8</f>
        <v/>
      </c>
      <c r="G13" s="8">
        <f>5000+SUM(Assumptions!$C59:G59)*0.8</f>
        <v/>
      </c>
    </row>
    <row r="14">
      <c r="A14" s="3" t="inlineStr">
        <is>
          <t xml:space="preserve">    E0 差额 → 合并资本公积（Σ借−Σ贷）</t>
        </is>
      </c>
      <c r="C14" s="29">
        <f>Eliminations!C5+Eliminations!C6-Eliminations!C7+Eliminations!C8+Eliminations!C9-Eliminations!C10+Eliminations!C11+Eliminations!C12-Eliminations!C13</f>
        <v/>
      </c>
      <c r="D14" s="29">
        <f>Eliminations!D5+Eliminations!D6-Eliminations!D7+Eliminations!D8+Eliminations!D9-Eliminations!D10+Eliminations!D11+Eliminations!D12-Eliminations!D13</f>
        <v/>
      </c>
      <c r="E14" s="29">
        <f>Eliminations!E5+Eliminations!E6-Eliminations!E7+Eliminations!E8+Eliminations!E9-Eliminations!E10+Eliminations!E11+Eliminations!E12-Eliminations!E13</f>
        <v/>
      </c>
      <c r="F14" s="29">
        <f>Eliminations!F5+Eliminations!F6-Eliminations!F7+Eliminations!F8+Eliminations!F9-Eliminations!F10+Eliminations!F11+Eliminations!F12-Eliminations!F13</f>
        <v/>
      </c>
      <c r="G14" s="29">
        <f>Eliminations!G5+Eliminations!G6-Eliminations!G7+Eliminations!G8+Eliminations!G9-Eliminations!G10+Eliminations!G11+Eliminations!G12-Eliminations!G13</f>
        <v/>
      </c>
    </row>
    <row r="15">
      <c r="A15" s="18" t="inlineStr">
        <is>
          <t>── E1 关联收入 × 关联成本对冲 ──</t>
        </is>
      </c>
    </row>
    <row r="16">
      <c r="A16" s="3" t="inlineStr">
        <is>
          <t xml:space="preserve">    借：关联收入 / 贷：关联成本（全额）</t>
        </is>
      </c>
      <c r="C16" s="29">
        <f>IC_Register!C10</f>
        <v/>
      </c>
      <c r="D16" s="29">
        <f>IC_Register!D10</f>
        <v/>
      </c>
      <c r="E16" s="29">
        <f>IC_Register!E10</f>
        <v/>
      </c>
      <c r="F16" s="29">
        <f>IC_Register!F10</f>
        <v/>
      </c>
      <c r="G16" s="29">
        <f>IC_Register!G10</f>
        <v/>
      </c>
    </row>
    <row r="17">
      <c r="A17" s="18" t="inlineStr">
        <is>
          <t>── E2 内部往来对冲（双边孰低=调节后）──</t>
        </is>
      </c>
    </row>
    <row r="18">
      <c r="A18" s="5" t="inlineStr">
        <is>
          <t xml:space="preserve">    借：内部应付合计</t>
        </is>
      </c>
      <c r="C18" s="8">
        <f>IC_Register!C18</f>
        <v/>
      </c>
      <c r="D18" s="8">
        <f>IC_Register!D18</f>
        <v/>
      </c>
      <c r="E18" s="8">
        <f>IC_Register!E18</f>
        <v/>
      </c>
      <c r="F18" s="8">
        <f>IC_Register!F18</f>
        <v/>
      </c>
      <c r="G18" s="8">
        <f>IC_Register!G18</f>
        <v/>
      </c>
    </row>
    <row r="19">
      <c r="A19" s="5" t="inlineStr">
        <is>
          <t xml:space="preserve">    贷：内部应收合计（孰低=ΣAR）</t>
        </is>
      </c>
      <c r="C19" s="8">
        <f>IC_Register!C17</f>
        <v/>
      </c>
      <c r="D19" s="8">
        <f>IC_Register!D17</f>
        <v/>
      </c>
      <c r="E19" s="8">
        <f>IC_Register!E17</f>
        <v/>
      </c>
      <c r="F19" s="8">
        <f>IC_Register!F17</f>
        <v/>
      </c>
      <c r="G19" s="8">
        <f>IC_Register!G17</f>
        <v/>
      </c>
    </row>
    <row r="20">
      <c r="A20" s="3" t="inlineStr">
        <is>
          <t xml:space="preserve">    差额 → 其他应付款·内部在途（=ΣAP−ΣAR）</t>
        </is>
      </c>
      <c r="B20" s="2" t="inlineStr">
        <is>
          <t>cut-off 在途挂账</t>
        </is>
      </c>
      <c r="C20" s="29">
        <f>Eliminations!C18-Eliminations!C19</f>
        <v/>
      </c>
      <c r="D20" s="29">
        <f>Eliminations!D18-Eliminations!D19</f>
        <v/>
      </c>
      <c r="E20" s="29">
        <f>Eliminations!E18-Eliminations!E19</f>
        <v/>
      </c>
      <c r="F20" s="29">
        <f>Eliminations!F18-Eliminations!F19</f>
        <v/>
      </c>
      <c r="G20" s="29">
        <f>Eliminations!G18-Eliminations!G19</f>
        <v/>
      </c>
    </row>
    <row r="21">
      <c r="A21" s="18" t="inlineStr">
        <is>
          <t>── E3 少数股东（利润拆分，非借贷）──</t>
        </is>
      </c>
    </row>
    <row r="22">
      <c r="A22" s="5" t="inlineStr">
        <is>
          <t xml:space="preserve">    少数股东损益 = 互联 NI × 20%</t>
        </is>
      </c>
      <c r="C22" s="8">
        <f>Toc_IS!C17*0.2</f>
        <v/>
      </c>
      <c r="D22" s="8">
        <f>Toc_IS!D17*0.2</f>
        <v/>
      </c>
      <c r="E22" s="8">
        <f>Toc_IS!E17*0.2</f>
        <v/>
      </c>
      <c r="F22" s="8">
        <f>Toc_IS!F17*0.2</f>
        <v/>
      </c>
      <c r="G22" s="8">
        <f>Toc_IS!G17*0.2</f>
        <v/>
      </c>
    </row>
    <row r="23">
      <c r="A23" s="5" t="inlineStr">
        <is>
          <t xml:space="preserve">    少数股东权益 = 互联净资产 × 20%</t>
        </is>
      </c>
      <c r="C23" s="8">
        <f>(Toc_BS_CF!C10+Toc_BS_CF!C11)*0.2</f>
        <v/>
      </c>
      <c r="D23" s="8">
        <f>(Toc_BS_CF!D10+Toc_BS_CF!D11)*0.2</f>
        <v/>
      </c>
      <c r="E23" s="8">
        <f>(Toc_BS_CF!E10+Toc_BS_CF!E11)*0.2</f>
        <v/>
      </c>
      <c r="F23" s="8">
        <f>(Toc_BS_CF!F10+Toc_BS_CF!F11)*0.2</f>
        <v/>
      </c>
      <c r="G23" s="8">
        <f>(Toc_BS_CF!G10+Toc_BS_CF!G11)*0.2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00B050"/>
    <outlinePr summaryBelow="1" summaryRight="1"/>
    <pageSetUpPr/>
  </sheetPr>
  <dimension ref="A1:G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</cols>
  <sheetData>
    <row r="1">
      <c r="A1" s="15" t="inlineStr">
        <is>
          <t>智擎集团 · 合并利润表</t>
        </is>
      </c>
    </row>
    <row r="2">
      <c r="A2" s="2" t="inlineStr">
        <is>
          <t>Σ四主体 − E1 关联对冲 − E3 归属拆分 | 万元</t>
        </is>
      </c>
    </row>
    <row r="3">
      <c r="A3" s="3" t="inlineStr">
        <is>
          <t>科目（万元）</t>
        </is>
      </c>
      <c r="B3" s="3" t="inlineStr">
        <is>
          <t>备注</t>
        </is>
      </c>
      <c r="C3" s="16" t="n">
        <v>2023</v>
      </c>
      <c r="D3" s="16" t="n">
        <v>2024</v>
      </c>
      <c r="E3" s="16" t="n">
        <v>2025</v>
      </c>
      <c r="F3" s="17" t="n">
        <v>2026</v>
      </c>
      <c r="G3" s="17" t="n">
        <v>2027</v>
      </c>
    </row>
    <row r="4">
      <c r="A4" s="3" t="inlineStr">
        <is>
          <t xml:space="preserve">    对外收入合计（云+行业+互联）</t>
        </is>
      </c>
      <c r="C4" s="29">
        <f>Cloud_IS!C4+Ind_IS!C6+Toc_IS!C6</f>
        <v/>
      </c>
      <c r="D4" s="29">
        <f>Cloud_IS!D4+Ind_IS!D6+Toc_IS!D6</f>
        <v/>
      </c>
      <c r="E4" s="29">
        <f>Cloud_IS!E4+Ind_IS!E6+Toc_IS!E6</f>
        <v/>
      </c>
      <c r="F4" s="29">
        <f>Cloud_IS!F4+Ind_IS!F6+Toc_IS!F6</f>
        <v/>
      </c>
      <c r="G4" s="29">
        <f>Cloud_IS!G4+Ind_IS!G6+Toc_IS!G6</f>
        <v/>
      </c>
    </row>
    <row r="5">
      <c r="A5" s="5" t="inlineStr">
        <is>
          <t xml:space="preserve">    减：关联收入抵消（E1）</t>
        </is>
      </c>
      <c r="B5" s="2" t="inlineStr">
        <is>
          <t>T1+T2+T3 全消</t>
        </is>
      </c>
      <c r="C5" s="8">
        <f>-Eliminations!C16</f>
        <v/>
      </c>
      <c r="D5" s="8">
        <f>-Eliminations!D16</f>
        <v/>
      </c>
      <c r="E5" s="8">
        <f>-Eliminations!E16</f>
        <v/>
      </c>
      <c r="F5" s="8">
        <f>-Eliminations!F16</f>
        <v/>
      </c>
      <c r="G5" s="8">
        <f>-Eliminations!G16</f>
        <v/>
      </c>
    </row>
    <row r="6">
      <c r="A6" s="3" t="inlineStr">
        <is>
          <t xml:space="preserve">    合并营业收入</t>
        </is>
      </c>
      <c r="C6" s="29">
        <f>Consol_IS!C4</f>
        <v/>
      </c>
      <c r="D6" s="29">
        <f>Consol_IS!D4</f>
        <v/>
      </c>
      <c r="E6" s="29">
        <f>Consol_IS!E4</f>
        <v/>
      </c>
      <c r="F6" s="29">
        <f>Consol_IS!F4</f>
        <v/>
      </c>
      <c r="G6" s="29">
        <f>Consol_IS!G4</f>
        <v/>
      </c>
    </row>
    <row r="7">
      <c r="A7" s="5" t="inlineStr">
        <is>
          <t xml:space="preserve">    Σ四主体营业成本</t>
        </is>
      </c>
      <c r="C7" s="8">
        <f>HoldCo_IS!C7+Cloud_IS!C11+Ind_IS!C11+Toc_IS!C9</f>
        <v/>
      </c>
      <c r="D7" s="8">
        <f>HoldCo_IS!D7+Cloud_IS!D11+Ind_IS!D11+Toc_IS!D9</f>
        <v/>
      </c>
      <c r="E7" s="8">
        <f>HoldCo_IS!E7+Cloud_IS!E11+Ind_IS!E11+Toc_IS!E9</f>
        <v/>
      </c>
      <c r="F7" s="8">
        <f>HoldCo_IS!F7+Cloud_IS!F11+Ind_IS!F11+Toc_IS!F9</f>
        <v/>
      </c>
      <c r="G7" s="8">
        <f>HoldCo_IS!G7+Cloud_IS!G11+Ind_IS!G11+Toc_IS!G9</f>
        <v/>
      </c>
    </row>
    <row r="8">
      <c r="A8" s="5" t="inlineStr">
        <is>
          <t xml:space="preserve">    减：关联成本对冲（E1）</t>
        </is>
      </c>
      <c r="B8" s="2" t="inlineStr">
        <is>
          <t>含保留云真实服务成本，净效应=−0.45×T3</t>
        </is>
      </c>
      <c r="C8" s="8">
        <f>-Eliminations!C16</f>
        <v/>
      </c>
      <c r="D8" s="8">
        <f>-Eliminations!D16</f>
        <v/>
      </c>
      <c r="E8" s="8">
        <f>-Eliminations!E16</f>
        <v/>
      </c>
      <c r="F8" s="8">
        <f>-Eliminations!F16</f>
        <v/>
      </c>
      <c r="G8" s="8">
        <f>-Eliminations!G16</f>
        <v/>
      </c>
    </row>
    <row r="9">
      <c r="A9" s="3" t="inlineStr">
        <is>
          <t xml:space="preserve">    合并营业成本</t>
        </is>
      </c>
      <c r="C9" s="29">
        <f>Consol_IS!C7+Consol_IS!C8</f>
        <v/>
      </c>
      <c r="D9" s="29">
        <f>Consol_IS!D7+Consol_IS!D8</f>
        <v/>
      </c>
      <c r="E9" s="29">
        <f>Consol_IS!E7+Consol_IS!E8</f>
        <v/>
      </c>
      <c r="F9" s="29">
        <f>Consol_IS!F7+Consol_IS!F8</f>
        <v/>
      </c>
      <c r="G9" s="29">
        <f>Consol_IS!G7+Consol_IS!G8</f>
        <v/>
      </c>
    </row>
    <row r="10">
      <c r="A10" s="3" t="inlineStr">
        <is>
          <t xml:space="preserve">    合并毛利润</t>
        </is>
      </c>
      <c r="C10" s="29">
        <f>Consol_IS!C6-Consol_IS!C9</f>
        <v/>
      </c>
      <c r="D10" s="29">
        <f>Consol_IS!D6-Consol_IS!D9</f>
        <v/>
      </c>
      <c r="E10" s="29">
        <f>Consol_IS!E6-Consol_IS!E9</f>
        <v/>
      </c>
      <c r="F10" s="29">
        <f>Consol_IS!F6-Consol_IS!F9</f>
        <v/>
      </c>
      <c r="G10" s="29">
        <f>Consol_IS!G6-Consol_IS!G9</f>
        <v/>
      </c>
    </row>
    <row r="11">
      <c r="A11" s="5" t="inlineStr">
        <is>
          <t xml:space="preserve">    研发费用</t>
        </is>
      </c>
      <c r="C11" s="8">
        <f>Cloud_IS!C13+Ind_IS!C13+Toc_IS!C11+HoldCo_IS!C9</f>
        <v/>
      </c>
      <c r="D11" s="8">
        <f>Cloud_IS!D13+Ind_IS!D13+Toc_IS!D11+HoldCo_IS!D9</f>
        <v/>
      </c>
      <c r="E11" s="8">
        <f>Cloud_IS!E13+Ind_IS!E13+Toc_IS!E11+HoldCo_IS!E9</f>
        <v/>
      </c>
      <c r="F11" s="8">
        <f>Cloud_IS!F13+Ind_IS!F13+Toc_IS!F11+HoldCo_IS!F9</f>
        <v/>
      </c>
      <c r="G11" s="8">
        <f>Cloud_IS!G13+Ind_IS!G13+Toc_IS!G11+HoldCo_IS!G9</f>
        <v/>
      </c>
    </row>
    <row r="12">
      <c r="A12" s="5" t="inlineStr">
        <is>
          <t xml:space="preserve">    销售费用</t>
        </is>
      </c>
      <c r="C12" s="8">
        <f>Cloud_IS!C14+Ind_IS!C14+Toc_IS!C13+HoldCo_IS!C10</f>
        <v/>
      </c>
      <c r="D12" s="8">
        <f>Cloud_IS!D14+Ind_IS!D14+Toc_IS!D13+HoldCo_IS!D10</f>
        <v/>
      </c>
      <c r="E12" s="8">
        <f>Cloud_IS!E14+Ind_IS!E14+Toc_IS!E13+HoldCo_IS!E10</f>
        <v/>
      </c>
      <c r="F12" s="8">
        <f>Cloud_IS!F14+Ind_IS!F14+Toc_IS!F13+HoldCo_IS!F10</f>
        <v/>
      </c>
      <c r="G12" s="8">
        <f>Cloud_IS!G14+Ind_IS!G14+Toc_IS!G13+HoldCo_IS!G10</f>
        <v/>
      </c>
    </row>
    <row r="13">
      <c r="A13" s="5" t="inlineStr">
        <is>
          <t xml:space="preserve">    管理费用</t>
        </is>
      </c>
      <c r="C13" s="8">
        <f>Cloud_IS!C15+Ind_IS!C15+Toc_IS!C14+HoldCo_IS!C11</f>
        <v/>
      </c>
      <c r="D13" s="8">
        <f>Cloud_IS!D15+Ind_IS!D15+Toc_IS!D14+HoldCo_IS!D11</f>
        <v/>
      </c>
      <c r="E13" s="8">
        <f>Cloud_IS!E15+Ind_IS!E15+Toc_IS!E14+HoldCo_IS!E11</f>
        <v/>
      </c>
      <c r="F13" s="8">
        <f>Cloud_IS!F15+Ind_IS!F15+Toc_IS!F14+HoldCo_IS!F11</f>
        <v/>
      </c>
      <c r="G13" s="8">
        <f>Cloud_IS!G15+Ind_IS!G15+Toc_IS!G14+HoldCo_IS!G11</f>
        <v/>
      </c>
    </row>
    <row r="14">
      <c r="A14" s="3" t="inlineStr">
        <is>
          <t xml:space="preserve">    合并 EBIT</t>
        </is>
      </c>
      <c r="C14" s="29">
        <f>Consol_IS!C10-Consol_IS!C11-Consol_IS!C12-Consol_IS!C13</f>
        <v/>
      </c>
      <c r="D14" s="29">
        <f>Consol_IS!D10-Consol_IS!D11-Consol_IS!D12-Consol_IS!D13</f>
        <v/>
      </c>
      <c r="E14" s="29">
        <f>Consol_IS!E10-Consol_IS!E11-Consol_IS!E12-Consol_IS!E13</f>
        <v/>
      </c>
      <c r="F14" s="29">
        <f>Consol_IS!F10-Consol_IS!F11-Consol_IS!F12-Consol_IS!F13</f>
        <v/>
      </c>
      <c r="G14" s="29">
        <f>Consol_IS!G10-Consol_IS!G11-Consol_IS!G12-Consol_IS!G13</f>
        <v/>
      </c>
    </row>
    <row r="15">
      <c r="A15" s="5" t="inlineStr">
        <is>
          <t xml:space="preserve">    所得税（Σ）</t>
        </is>
      </c>
      <c r="C15" s="8">
        <f>Cloud_IS!C17+Ind_IS!C17+Toc_IS!C16+HoldCo_IS!C13</f>
        <v/>
      </c>
      <c r="D15" s="8">
        <f>Cloud_IS!D17+Ind_IS!D17+Toc_IS!D16+HoldCo_IS!D13</f>
        <v/>
      </c>
      <c r="E15" s="8">
        <f>Cloud_IS!E17+Ind_IS!E17+Toc_IS!E16+HoldCo_IS!E13</f>
        <v/>
      </c>
      <c r="F15" s="8">
        <f>Cloud_IS!F17+Ind_IS!F17+Toc_IS!F16+HoldCo_IS!F13</f>
        <v/>
      </c>
      <c r="G15" s="8">
        <f>Cloud_IS!G17+Ind_IS!G17+Toc_IS!G16+HoldCo_IS!G13</f>
        <v/>
      </c>
    </row>
    <row r="16">
      <c r="A16" s="3" t="inlineStr">
        <is>
          <t xml:space="preserve">    合并净利润</t>
        </is>
      </c>
      <c r="C16" s="29">
        <f>Consol_IS!C14-Consol_IS!C15</f>
        <v/>
      </c>
      <c r="D16" s="29">
        <f>Consol_IS!D14-Consol_IS!D15</f>
        <v/>
      </c>
      <c r="E16" s="29">
        <f>Consol_IS!E14-Consol_IS!E15</f>
        <v/>
      </c>
      <c r="F16" s="29">
        <f>Consol_IS!F14-Consol_IS!F15</f>
        <v/>
      </c>
      <c r="G16" s="29">
        <f>Consol_IS!G14-Consol_IS!G15</f>
        <v/>
      </c>
    </row>
    <row r="17">
      <c r="A17" s="5" t="inlineStr">
        <is>
          <t xml:space="preserve">    少数股东损益（E3）</t>
        </is>
      </c>
      <c r="C17" s="8">
        <f>Eliminations!C22</f>
        <v/>
      </c>
      <c r="D17" s="8">
        <f>Eliminations!D22</f>
        <v/>
      </c>
      <c r="E17" s="8">
        <f>Eliminations!E22</f>
        <v/>
      </c>
      <c r="F17" s="8">
        <f>Eliminations!F22</f>
        <v/>
      </c>
      <c r="G17" s="8">
        <f>Eliminations!G22</f>
        <v/>
      </c>
    </row>
    <row r="18">
      <c r="A18" s="32" t="inlineStr">
        <is>
          <t xml:space="preserve">    归属于母公司净利润</t>
        </is>
      </c>
      <c r="C18" s="33">
        <f>Consol_IS!C16-Consol_IS!C17</f>
        <v/>
      </c>
      <c r="D18" s="33">
        <f>Consol_IS!D16-Consol_IS!D17</f>
        <v/>
      </c>
      <c r="E18" s="33">
        <f>Consol_IS!E16-Consol_IS!E17</f>
        <v/>
      </c>
      <c r="F18" s="33">
        <f>Consol_IS!F16-Consol_IS!F17</f>
        <v/>
      </c>
      <c r="G18" s="33">
        <f>Consol_IS!G16-Consol_IS!G17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0B050"/>
    <outlinePr summaryBelow="1" summaryRight="1"/>
    <pageSetUpPr/>
  </sheetPr>
  <dimension ref="A1:G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</cols>
  <sheetData>
    <row r="1">
      <c r="A1" s="15" t="inlineStr">
        <is>
          <t>智擎集团 · 合并资产负债表</t>
        </is>
      </c>
    </row>
    <row r="2">
      <c r="A2" s="2" t="inlineStr">
        <is>
          <t>Σ四主体 − E0 − E2 + 少数股东权益 | 万元</t>
        </is>
      </c>
    </row>
    <row r="3">
      <c r="A3" s="3" t="inlineStr">
        <is>
          <t>科目（万元）</t>
        </is>
      </c>
      <c r="B3" s="3" t="inlineStr">
        <is>
          <t>备注</t>
        </is>
      </c>
      <c r="C3" s="16" t="n">
        <v>2023</v>
      </c>
      <c r="D3" s="16" t="n">
        <v>2024</v>
      </c>
      <c r="E3" s="16" t="n">
        <v>2025</v>
      </c>
      <c r="F3" s="17" t="n">
        <v>2026</v>
      </c>
      <c r="G3" s="17" t="n">
        <v>2027</v>
      </c>
    </row>
    <row r="4">
      <c r="A4" s="5" t="inlineStr">
        <is>
          <t xml:space="preserve">    货币资金</t>
        </is>
      </c>
      <c r="C4" s="8">
        <f>HoldCo_BS!C18+Cloud_BS_CF!C15+Ind_BS_CF!C12+Toc_BS_CF!C12</f>
        <v/>
      </c>
      <c r="D4" s="8">
        <f>HoldCo_BS!D18+Cloud_BS_CF!D15+Ind_BS_CF!D12+Toc_BS_CF!D12</f>
        <v/>
      </c>
      <c r="E4" s="8">
        <f>HoldCo_BS!E18+Cloud_BS_CF!E15+Ind_BS_CF!E12+Toc_BS_CF!E12</f>
        <v/>
      </c>
      <c r="F4" s="8">
        <f>HoldCo_BS!F18+Cloud_BS_CF!F15+Ind_BS_CF!F12+Toc_BS_CF!F12</f>
        <v/>
      </c>
      <c r="G4" s="8">
        <f>HoldCo_BS!G18+Cloud_BS_CF!G15+Ind_BS_CF!G12+Toc_BS_CF!G12</f>
        <v/>
      </c>
    </row>
    <row r="5">
      <c r="A5" s="5" t="inlineStr">
        <is>
          <t xml:space="preserve">    应收账款</t>
        </is>
      </c>
      <c r="C5" s="8">
        <f>HoldCo_BS!C4+Cloud_BS_CF!C5+Ind_BS_CF!C5+Toc_BS_CF!C5</f>
        <v/>
      </c>
      <c r="D5" s="8">
        <f>HoldCo_BS!D4+Cloud_BS_CF!D5+Ind_BS_CF!D5+Toc_BS_CF!D5</f>
        <v/>
      </c>
      <c r="E5" s="8">
        <f>HoldCo_BS!E4+Cloud_BS_CF!E5+Ind_BS_CF!E5+Toc_BS_CF!E5</f>
        <v/>
      </c>
      <c r="F5" s="8">
        <f>HoldCo_BS!F4+Cloud_BS_CF!F5+Ind_BS_CF!F5+Toc_BS_CF!F5</f>
        <v/>
      </c>
      <c r="G5" s="8">
        <f>HoldCo_BS!G4+Cloud_BS_CF!G5+Ind_BS_CF!G5+Toc_BS_CF!G5</f>
        <v/>
      </c>
    </row>
    <row r="6">
      <c r="A6" s="5" t="inlineStr">
        <is>
          <t xml:space="preserve">    固定资产 · GPU 净值</t>
        </is>
      </c>
      <c r="C6" s="8">
        <f>HoldCo_BS!C6+Cloud_BS_CF!C7</f>
        <v/>
      </c>
      <c r="D6" s="8">
        <f>HoldCo_BS!D6+Cloud_BS_CF!D7</f>
        <v/>
      </c>
      <c r="E6" s="8">
        <f>HoldCo_BS!E6+Cloud_BS_CF!E7</f>
        <v/>
      </c>
      <c r="F6" s="8">
        <f>HoldCo_BS!F6+Cloud_BS_CF!F7</f>
        <v/>
      </c>
      <c r="G6" s="8">
        <f>HoldCo_BS!G6+Cloud_BS_CF!G7</f>
        <v/>
      </c>
    </row>
    <row r="7">
      <c r="A7" s="5" t="inlineStr">
        <is>
          <t xml:space="preserve">    内部应收（抵消后 0）</t>
        </is>
      </c>
      <c r="C7" s="8">
        <f>HoldCo_BS!C5+Cloud_BS_CF!C6-Eliminations!C19</f>
        <v/>
      </c>
      <c r="D7" s="8">
        <f>HoldCo_BS!D5+Cloud_BS_CF!D6-Eliminations!D19</f>
        <v/>
      </c>
      <c r="E7" s="8">
        <f>HoldCo_BS!E5+Cloud_BS_CF!E6-Eliminations!E19</f>
        <v/>
      </c>
      <c r="F7" s="8">
        <f>HoldCo_BS!F5+Cloud_BS_CF!F6-Eliminations!F19</f>
        <v/>
      </c>
      <c r="G7" s="8">
        <f>HoldCo_BS!G5+Cloud_BS_CF!G6-Eliminations!G19</f>
        <v/>
      </c>
    </row>
    <row r="8">
      <c r="A8" s="5" t="inlineStr">
        <is>
          <t xml:space="preserve">    长期股权投资（抵消后 0）</t>
        </is>
      </c>
      <c r="C8" s="8">
        <f>HoldCo_BS!C7-Eliminations!C7-Eliminations!C10-Eliminations!C13</f>
        <v/>
      </c>
      <c r="D8" s="8">
        <f>HoldCo_BS!D7-Eliminations!D7-Eliminations!D10-Eliminations!D13</f>
        <v/>
      </c>
      <c r="E8" s="8">
        <f>HoldCo_BS!E7-Eliminations!E7-Eliminations!E10-Eliminations!E13</f>
        <v/>
      </c>
      <c r="F8" s="8">
        <f>HoldCo_BS!F7-Eliminations!F7-Eliminations!F10-Eliminations!F13</f>
        <v/>
      </c>
      <c r="G8" s="8">
        <f>HoldCo_BS!G7-Eliminations!G7-Eliminations!G10-Eliminations!G13</f>
        <v/>
      </c>
    </row>
    <row r="9">
      <c r="A9" s="3" t="inlineStr">
        <is>
          <t>资产总计</t>
        </is>
      </c>
      <c r="C9" s="29">
        <f>Consol_BS!C4+Consol_BS!C5+Consol_BS!C6</f>
        <v/>
      </c>
      <c r="D9" s="29">
        <f>Consol_BS!D4+Consol_BS!D5+Consol_BS!D6</f>
        <v/>
      </c>
      <c r="E9" s="29">
        <f>Consol_BS!E4+Consol_BS!E5+Consol_BS!E6</f>
        <v/>
      </c>
      <c r="F9" s="29">
        <f>Consol_BS!F4+Consol_BS!F5+Consol_BS!F6</f>
        <v/>
      </c>
      <c r="G9" s="29">
        <f>Consol_BS!G4+Consol_BS!G5+Consol_BS!G6</f>
        <v/>
      </c>
    </row>
    <row r="11">
      <c r="A11" s="5" t="inlineStr">
        <is>
          <t xml:space="preserve">    应付账款</t>
        </is>
      </c>
      <c r="C11" s="8">
        <f>HoldCo_BS!C10+Cloud_BS_CF!C9+Ind_BS_CF!C7+Toc_BS_CF!C7</f>
        <v/>
      </c>
      <c r="D11" s="8">
        <f>HoldCo_BS!D10+Cloud_BS_CF!D9+Ind_BS_CF!D7+Toc_BS_CF!D7</f>
        <v/>
      </c>
      <c r="E11" s="8">
        <f>HoldCo_BS!E10+Cloud_BS_CF!E9+Ind_BS_CF!E7+Toc_BS_CF!E7</f>
        <v/>
      </c>
      <c r="F11" s="8">
        <f>HoldCo_BS!F10+Cloud_BS_CF!F9+Ind_BS_CF!F7+Toc_BS_CF!F7</f>
        <v/>
      </c>
      <c r="G11" s="8">
        <f>HoldCo_BS!G10+Cloud_BS_CF!G9+Ind_BS_CF!G7+Toc_BS_CF!G7</f>
        <v/>
      </c>
    </row>
    <row r="12">
      <c r="A12" s="5" t="inlineStr">
        <is>
          <t xml:space="preserve">    递延收益</t>
        </is>
      </c>
      <c r="C12" s="8">
        <f>HoldCo_BS!C12+Cloud_BS_CF!C11+Ind_BS_CF!C8+Toc_BS_CF!C8</f>
        <v/>
      </c>
      <c r="D12" s="8">
        <f>HoldCo_BS!D12+Cloud_BS_CF!D11+Ind_BS_CF!D8+Toc_BS_CF!D8</f>
        <v/>
      </c>
      <c r="E12" s="8">
        <f>HoldCo_BS!E12+Cloud_BS_CF!E11+Ind_BS_CF!E8+Toc_BS_CF!E8</f>
        <v/>
      </c>
      <c r="F12" s="8">
        <f>HoldCo_BS!F12+Cloud_BS_CF!F11+Ind_BS_CF!F8+Toc_BS_CF!F8</f>
        <v/>
      </c>
      <c r="G12" s="8">
        <f>HoldCo_BS!G12+Cloud_BS_CF!G11+Ind_BS_CF!G8+Toc_BS_CF!G8</f>
        <v/>
      </c>
    </row>
    <row r="13">
      <c r="A13" s="5" t="inlineStr">
        <is>
          <t xml:space="preserve">    内部应付（抵消后=在途差额）</t>
        </is>
      </c>
      <c r="B13" s="2" t="inlineStr">
        <is>
          <t>按双边孰低抵消，剩余挂 other_pay</t>
        </is>
      </c>
      <c r="C13" s="8">
        <f>HoldCo_BS!C11+Cloud_BS_CF!C10+Ind_BS_CF!C6+Toc_BS_CF!C6-Eliminations!C19</f>
        <v/>
      </c>
      <c r="D13" s="8">
        <f>HoldCo_BS!D11+Cloud_BS_CF!D10+Ind_BS_CF!D6+Toc_BS_CF!D6-Eliminations!D19</f>
        <v/>
      </c>
      <c r="E13" s="8">
        <f>HoldCo_BS!E11+Cloud_BS_CF!E10+Ind_BS_CF!E6+Toc_BS_CF!E6-Eliminations!E19</f>
        <v/>
      </c>
      <c r="F13" s="8">
        <f>HoldCo_BS!F11+Cloud_BS_CF!F10+Ind_BS_CF!F6+Toc_BS_CF!F6-Eliminations!F19</f>
        <v/>
      </c>
      <c r="G13" s="8">
        <f>HoldCo_BS!G11+Cloud_BS_CF!G10+Ind_BS_CF!G6+Toc_BS_CF!G6-Eliminations!G19</f>
        <v/>
      </c>
    </row>
    <row r="14">
      <c r="A14" s="5" t="inlineStr">
        <is>
          <t xml:space="preserve">    其他应付款 · 内部在途</t>
        </is>
      </c>
      <c r="C14" s="8">
        <f>Eliminations!C20</f>
        <v/>
      </c>
      <c r="D14" s="8">
        <f>Eliminations!D20</f>
        <v/>
      </c>
      <c r="E14" s="8">
        <f>Eliminations!E20</f>
        <v/>
      </c>
      <c r="F14" s="8">
        <f>Eliminations!F20</f>
        <v/>
      </c>
      <c r="G14" s="8">
        <f>Eliminations!G20</f>
        <v/>
      </c>
    </row>
    <row r="15">
      <c r="A15" s="3" t="inlineStr">
        <is>
          <t>负债合计</t>
        </is>
      </c>
      <c r="C15" s="29">
        <f>Consol_BS!C11+Consol_BS!C12+Consol_BS!C14</f>
        <v/>
      </c>
      <c r="D15" s="29">
        <f>Consol_BS!D11+Consol_BS!D12+Consol_BS!D14</f>
        <v/>
      </c>
      <c r="E15" s="29">
        <f>Consol_BS!E11+Consol_BS!E12+Consol_BS!E14</f>
        <v/>
      </c>
      <c r="F15" s="29">
        <f>Consol_BS!F11+Consol_BS!F12+Consol_BS!F14</f>
        <v/>
      </c>
      <c r="G15" s="29">
        <f>Consol_BS!G11+Consol_BS!G12+Consol_BS!G14</f>
        <v/>
      </c>
    </row>
    <row r="16">
      <c r="A16" s="5" t="inlineStr">
        <is>
          <t xml:space="preserve">    实收资本（研究院口径）</t>
        </is>
      </c>
      <c r="B16" s="2" t="inlineStr">
        <is>
          <t>子公司全抵</t>
        </is>
      </c>
      <c r="C16" s="8">
        <f>HoldCo_BS!C14</f>
        <v/>
      </c>
      <c r="D16" s="8">
        <f>HoldCo_BS!D14</f>
        <v/>
      </c>
      <c r="E16" s="8">
        <f>HoldCo_BS!E14</f>
        <v/>
      </c>
      <c r="F16" s="8">
        <f>HoldCo_BS!F14</f>
        <v/>
      </c>
      <c r="G16" s="8">
        <f>HoldCo_BS!G14</f>
        <v/>
      </c>
    </row>
    <row r="17">
      <c r="A17" s="5" t="inlineStr">
        <is>
          <t xml:space="preserve">    合并调整 · 资本公积（E0 差额）</t>
        </is>
      </c>
      <c r="C17" s="8">
        <f>Eliminations!C14</f>
        <v/>
      </c>
      <c r="D17" s="8">
        <f>Eliminations!D14</f>
        <v/>
      </c>
      <c r="E17" s="8">
        <f>Eliminations!E14</f>
        <v/>
      </c>
      <c r="F17" s="8">
        <f>Eliminations!F14</f>
        <v/>
      </c>
      <c r="G17" s="8">
        <f>Eliminations!G14</f>
        <v/>
      </c>
    </row>
    <row r="18">
      <c r="A18" s="5" t="inlineStr">
        <is>
          <t xml:space="preserve">    未分配利润（研究院口径）</t>
        </is>
      </c>
      <c r="C18" s="8">
        <f>HoldCo_BS!C15</f>
        <v/>
      </c>
      <c r="D18" s="8">
        <f>HoldCo_BS!D15</f>
        <v/>
      </c>
      <c r="E18" s="8">
        <f>HoldCo_BS!E15</f>
        <v/>
      </c>
      <c r="F18" s="8">
        <f>HoldCo_BS!F15</f>
        <v/>
      </c>
      <c r="G18" s="8">
        <f>HoldCo_BS!G15</f>
        <v/>
      </c>
    </row>
    <row r="19">
      <c r="A19" s="5" t="inlineStr">
        <is>
          <t xml:space="preserve">    少数股东权益（E3）</t>
        </is>
      </c>
      <c r="C19" s="8">
        <f>Eliminations!C23</f>
        <v/>
      </c>
      <c r="D19" s="8">
        <f>Eliminations!D23</f>
        <v/>
      </c>
      <c r="E19" s="8">
        <f>Eliminations!E23</f>
        <v/>
      </c>
      <c r="F19" s="8">
        <f>Eliminations!F23</f>
        <v/>
      </c>
      <c r="G19" s="8">
        <f>Eliminations!G23</f>
        <v/>
      </c>
    </row>
    <row r="20">
      <c r="A20" s="3" t="inlineStr">
        <is>
          <t>合并所有者权益合计</t>
        </is>
      </c>
      <c r="C20" s="29">
        <f>Consol_BS!C16+Consol_BS!C17+Consol_BS!C18+Consol_BS!C19</f>
        <v/>
      </c>
      <c r="D20" s="29">
        <f>Consol_BS!D16+Consol_BS!D17+Consol_BS!D18+Consol_BS!D19</f>
        <v/>
      </c>
      <c r="E20" s="29">
        <f>Consol_BS!E16+Consol_BS!E17+Consol_BS!E18+Consol_BS!E19</f>
        <v/>
      </c>
      <c r="F20" s="29">
        <f>Consol_BS!F16+Consol_BS!F17+Consol_BS!F18+Consol_BS!F19</f>
        <v/>
      </c>
      <c r="G20" s="29">
        <f>Consol_BS!G16+Consol_BS!G17+Consol_BS!G18+Consol_BS!G19</f>
        <v/>
      </c>
    </row>
    <row r="21">
      <c r="A21" s="3" t="inlineStr">
        <is>
          <t>负债+权益合计</t>
        </is>
      </c>
      <c r="C21" s="29">
        <f>Consol_BS!C15+Consol_BS!C20</f>
        <v/>
      </c>
      <c r="D21" s="29">
        <f>Consol_BS!D15+Consol_BS!D20</f>
        <v/>
      </c>
      <c r="E21" s="29">
        <f>Consol_BS!E15+Consol_BS!E20</f>
        <v/>
      </c>
      <c r="F21" s="29">
        <f>Consol_BS!F15+Consol_BS!F20</f>
        <v/>
      </c>
      <c r="G21" s="29">
        <f>Consol_BS!G15+Consol_BS!G20</f>
        <v/>
      </c>
    </row>
    <row r="22">
      <c r="A22" s="3" t="inlineStr">
        <is>
          <t>★ 合并 BS 平衡差（应全 0）</t>
        </is>
      </c>
      <c r="C22" s="30" t="n"/>
      <c r="D22" s="30" t="n"/>
      <c r="E22" s="30" t="n"/>
      <c r="F22" s="30" t="n"/>
      <c r="G22" s="30" t="n"/>
    </row>
    <row r="23">
      <c r="A23" s="5" t="inlineStr">
        <is>
          <t xml:space="preserve">  资产 − 负债 − 权益</t>
        </is>
      </c>
      <c r="C23" s="34">
        <f>Consol_BS!C9-Consol_BS!C21</f>
        <v/>
      </c>
      <c r="D23" s="34">
        <f>Consol_BS!D9-Consol_BS!D21</f>
        <v/>
      </c>
      <c r="E23" s="34">
        <f>Consol_BS!E9-Consol_BS!E21</f>
        <v/>
      </c>
      <c r="F23" s="34">
        <f>Consol_BS!F9-Consol_BS!F21</f>
        <v/>
      </c>
      <c r="G23" s="34">
        <f>Consol_BS!G9-Consol_BS!G21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0B050"/>
    <outlinePr summaryBelow="1" summaryRight="1"/>
    <pageSetUpPr/>
  </sheetPr>
  <dimension ref="A1:G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</cols>
  <sheetData>
    <row r="1">
      <c r="A1" s="15" t="inlineStr">
        <is>
          <t>智擎集团 · 合并现金流量表（间接法）</t>
        </is>
      </c>
    </row>
    <row r="2">
      <c r="A2" s="2" t="inlineStr">
        <is>
          <t>合并 NI+D&amp;A+ΔWC；内部结算不出合并范围自动消失 | 万元</t>
        </is>
      </c>
    </row>
    <row r="3">
      <c r="A3" s="3" t="inlineStr">
        <is>
          <t>科目（万元）</t>
        </is>
      </c>
      <c r="B3" s="3" t="inlineStr">
        <is>
          <t>备注</t>
        </is>
      </c>
      <c r="C3" s="16" t="n">
        <v>2023</v>
      </c>
      <c r="D3" s="16" t="n">
        <v>2024</v>
      </c>
      <c r="E3" s="16" t="n">
        <v>2025</v>
      </c>
      <c r="F3" s="17" t="n">
        <v>2026</v>
      </c>
      <c r="G3" s="17" t="n">
        <v>2027</v>
      </c>
    </row>
    <row r="4">
      <c r="A4" s="5" t="inlineStr">
        <is>
          <t xml:space="preserve">    合并净利润</t>
        </is>
      </c>
      <c r="C4" s="8">
        <f>Consol_IS!C16</f>
        <v/>
      </c>
      <c r="D4" s="8">
        <f>Consol_IS!D16</f>
        <v/>
      </c>
      <c r="E4" s="8">
        <f>Consol_IS!E16</f>
        <v/>
      </c>
      <c r="F4" s="8">
        <f>Consol_IS!F16</f>
        <v/>
      </c>
      <c r="G4" s="8">
        <f>Consol_IS!G16</f>
        <v/>
      </c>
    </row>
    <row r="5">
      <c r="A5" s="5" t="inlineStr">
        <is>
          <t xml:space="preserve">    加：折旧（训练+推理）</t>
        </is>
      </c>
      <c r="C5" s="8">
        <f>Capex_Dep!C22+Capex_Dep!C24</f>
        <v/>
      </c>
      <c r="D5" s="8">
        <f>Capex_Dep!D22+Capex_Dep!D24</f>
        <v/>
      </c>
      <c r="E5" s="8">
        <f>Capex_Dep!E22+Capex_Dep!E24</f>
        <v/>
      </c>
      <c r="F5" s="8">
        <f>Capex_Dep!F22+Capex_Dep!F24</f>
        <v/>
      </c>
      <c r="G5" s="8">
        <f>Capex_Dep!G22+Capex_Dep!G24</f>
        <v/>
      </c>
    </row>
    <row r="6">
      <c r="A6" s="5" t="inlineStr">
        <is>
          <t xml:space="preserve">    减：应收增加</t>
        </is>
      </c>
      <c r="C6" s="8">
        <f>-(Consol_BS!C5-(0))</f>
        <v/>
      </c>
      <c r="D6" s="8">
        <f>-(Consol_BS!D5-(Consol_BS!C5))</f>
        <v/>
      </c>
      <c r="E6" s="8">
        <f>-(Consol_BS!E5-(Consol_BS!D5))</f>
        <v/>
      </c>
      <c r="F6" s="8">
        <f>-(Consol_BS!F5-(Consol_BS!E5))</f>
        <v/>
      </c>
      <c r="G6" s="8">
        <f>-(Consol_BS!G5-(Consol_BS!F5))</f>
        <v/>
      </c>
    </row>
    <row r="7">
      <c r="A7" s="5" t="inlineStr">
        <is>
          <t xml:space="preserve">    加：递延增加</t>
        </is>
      </c>
      <c r="C7" s="8">
        <f>Consol_BS!C12-(0)</f>
        <v/>
      </c>
      <c r="D7" s="8">
        <f>Consol_BS!D12-(Consol_BS!C12)</f>
        <v/>
      </c>
      <c r="E7" s="8">
        <f>Consol_BS!E12-(Consol_BS!D12)</f>
        <v/>
      </c>
      <c r="F7" s="8">
        <f>Consol_BS!F12-(Consol_BS!E12)</f>
        <v/>
      </c>
      <c r="G7" s="8">
        <f>Consol_BS!G12-(Consol_BS!F12)</f>
        <v/>
      </c>
    </row>
    <row r="8">
      <c r="A8" s="5" t="inlineStr">
        <is>
          <t xml:space="preserve">    加：应付增加</t>
        </is>
      </c>
      <c r="C8" s="8">
        <f>Consol_BS!C11-(0)</f>
        <v/>
      </c>
      <c r="D8" s="8">
        <f>Consol_BS!D11-(Consol_BS!C11)</f>
        <v/>
      </c>
      <c r="E8" s="8">
        <f>Consol_BS!E11-(Consol_BS!D11)</f>
        <v/>
      </c>
      <c r="F8" s="8">
        <f>Consol_BS!F11-(Consol_BS!E11)</f>
        <v/>
      </c>
      <c r="G8" s="8">
        <f>Consol_BS!G11-(Consol_BS!F11)</f>
        <v/>
      </c>
    </row>
    <row r="9">
      <c r="A9" s="5" t="inlineStr">
        <is>
          <t xml:space="preserve">    加：在途挂账变动</t>
        </is>
      </c>
      <c r="B9" s="2" t="inlineStr">
        <is>
          <t>非现金</t>
        </is>
      </c>
      <c r="C9" s="8">
        <f>Consol_BS!C14-(0)</f>
        <v/>
      </c>
      <c r="D9" s="8">
        <f>Consol_BS!D14-(Consol_BS!C14)</f>
        <v/>
      </c>
      <c r="E9" s="8">
        <f>Consol_BS!E14-(Consol_BS!D14)</f>
        <v/>
      </c>
      <c r="F9" s="8">
        <f>Consol_BS!F14-(Consol_BS!E14)</f>
        <v/>
      </c>
      <c r="G9" s="8">
        <f>Consol_BS!G14-(Consol_BS!F14)</f>
        <v/>
      </c>
    </row>
    <row r="10">
      <c r="A10" s="3" t="inlineStr">
        <is>
          <t xml:space="preserve">    经营活动现金流</t>
        </is>
      </c>
      <c r="C10" s="29">
        <f>Consol_CF!C4+Consol_CF!C5+Consol_CF!C6+Consol_CF!C7+Consol_CF!C8+Consol_CF!C9</f>
        <v/>
      </c>
      <c r="D10" s="29">
        <f>Consol_CF!D4+Consol_CF!D5+Consol_CF!D6+Consol_CF!D7+Consol_CF!D8+Consol_CF!D9</f>
        <v/>
      </c>
      <c r="E10" s="29">
        <f>Consol_CF!E4+Consol_CF!E5+Consol_CF!E6+Consol_CF!E7+Consol_CF!E8+Consol_CF!E9</f>
        <v/>
      </c>
      <c r="F10" s="29">
        <f>Consol_CF!F4+Consol_CF!F5+Consol_CF!F6+Consol_CF!F7+Consol_CF!F8+Consol_CF!F9</f>
        <v/>
      </c>
      <c r="G10" s="29">
        <f>Consol_CF!G4+Consol_CF!G5+Consol_CF!G6+Consol_CF!G7+Consol_CF!G8+Consol_CF!G9</f>
        <v/>
      </c>
    </row>
    <row r="11">
      <c r="A11" s="5" t="inlineStr">
        <is>
          <t xml:space="preserve">    投资活动现金流</t>
        </is>
      </c>
      <c r="C11" s="8">
        <f>-Capex_Dep!C5-Capex_Dep!C6</f>
        <v/>
      </c>
      <c r="D11" s="8">
        <f>-Capex_Dep!D5-Capex_Dep!D6</f>
        <v/>
      </c>
      <c r="E11" s="8">
        <f>-Capex_Dep!E5-Capex_Dep!E6</f>
        <v/>
      </c>
      <c r="F11" s="8">
        <f>-Capex_Dep!F5-Capex_Dep!F6</f>
        <v/>
      </c>
      <c r="G11" s="8">
        <f>-Capex_Dep!G5-Capex_Dep!G6</f>
        <v/>
      </c>
    </row>
    <row r="12">
      <c r="A12" s="5" t="inlineStr">
        <is>
          <t xml:space="preserve">    筹资活动（研究院注资+互联战投）</t>
        </is>
      </c>
      <c r="B12" s="2" t="inlineStr">
        <is>
          <t>子公司注资=内部划转，抵消</t>
        </is>
      </c>
      <c r="C12" s="8">
        <f>Assumptions!C56+Assumptions!C59*0.2</f>
        <v/>
      </c>
      <c r="D12" s="8">
        <f>Assumptions!D56+Assumptions!D59*0.2</f>
        <v/>
      </c>
      <c r="E12" s="8">
        <f>Assumptions!E56+Assumptions!E59*0.2</f>
        <v/>
      </c>
      <c r="F12" s="8">
        <f>Assumptions!F56+Assumptions!F59*0.2</f>
        <v/>
      </c>
      <c r="G12" s="8">
        <f>Assumptions!G56+Assumptions!G59*0.2</f>
        <v/>
      </c>
    </row>
    <row r="13">
      <c r="A13" s="3" t="inlineStr">
        <is>
          <t xml:space="preserve">    现金净变动</t>
        </is>
      </c>
      <c r="C13" s="29">
        <f>Consol_CF!C10+Consol_CF!C11+Consol_CF!C12</f>
        <v/>
      </c>
      <c r="D13" s="29">
        <f>Consol_CF!D10+Consol_CF!D11+Consol_CF!D12</f>
        <v/>
      </c>
      <c r="E13" s="29">
        <f>Consol_CF!E10+Consol_CF!E11+Consol_CF!E12</f>
        <v/>
      </c>
      <c r="F13" s="29">
        <f>Consol_CF!F10+Consol_CF!F11+Consol_CF!F12</f>
        <v/>
      </c>
      <c r="G13" s="29">
        <f>Consol_CF!G10+Consol_CF!G11+Consol_CF!G12</f>
        <v/>
      </c>
    </row>
    <row r="14">
      <c r="A14" s="3" t="inlineStr">
        <is>
          <t xml:space="preserve">    期末现金（CF 推导）</t>
        </is>
      </c>
      <c r="C14" s="29">
        <f>68000.00000100001+Consol_CF!C13</f>
        <v/>
      </c>
      <c r="D14" s="29">
        <f>C14+Consol_CF!D13</f>
        <v/>
      </c>
      <c r="E14" s="29">
        <f>D14+Consol_CF!E13</f>
        <v/>
      </c>
      <c r="F14" s="29">
        <f>E14+Consol_CF!F13</f>
        <v/>
      </c>
      <c r="G14" s="29">
        <f>F14+Consol_CF!G13</f>
        <v/>
      </c>
    </row>
    <row r="15">
      <c r="A15" s="5" t="inlineStr">
        <is>
          <t xml:space="preserve">    期末现金（Σ单体 BS）</t>
        </is>
      </c>
      <c r="C15" s="8">
        <f>HoldCo_BS!C18+Cloud_BS_CF!C15+Ind_BS_CF!C12+Toc_BS_CF!C12</f>
        <v/>
      </c>
      <c r="D15" s="8">
        <f>HoldCo_BS!D18+Cloud_BS_CF!D15+Ind_BS_CF!D12+Toc_BS_CF!D12</f>
        <v/>
      </c>
      <c r="E15" s="8">
        <f>HoldCo_BS!E18+Cloud_BS_CF!E15+Ind_BS_CF!E12+Toc_BS_CF!E12</f>
        <v/>
      </c>
      <c r="F15" s="8">
        <f>HoldCo_BS!F18+Cloud_BS_CF!F15+Ind_BS_CF!F12+Toc_BS_CF!F12</f>
        <v/>
      </c>
      <c r="G15" s="8">
        <f>HoldCo_BS!G18+Cloud_BS_CF!G15+Ind_BS_CF!G12+Toc_BS_CF!G12</f>
        <v/>
      </c>
    </row>
    <row r="16">
      <c r="A16" s="3" t="inlineStr">
        <is>
          <t>★ 合并 CF=BS 差异（应全 0）</t>
        </is>
      </c>
      <c r="C16" s="30" t="n"/>
      <c r="D16" s="30" t="n"/>
      <c r="E16" s="30" t="n"/>
      <c r="F16" s="30" t="n"/>
      <c r="G16" s="30" t="n"/>
    </row>
    <row r="17">
      <c r="A17" s="5" t="inlineStr">
        <is>
          <t xml:space="preserve">  CF推导 − Σ单体现金</t>
        </is>
      </c>
      <c r="C17" s="34">
        <f>Consol_CF!C14-Consol_CF!C15</f>
        <v/>
      </c>
      <c r="D17" s="34">
        <f>Consol_CF!D14-Consol_CF!D15</f>
        <v/>
      </c>
      <c r="E17" s="34">
        <f>Consol_CF!E14-Consol_CF!E15</f>
        <v/>
      </c>
      <c r="F17" s="34">
        <f>Consol_CF!F14-Consol_CF!F15</f>
        <v/>
      </c>
      <c r="G17" s="34">
        <f>Consol_CF!G14-Consol_CF!G15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A6A6A6"/>
    <outlinePr summaryBelow="1" summaryRight="1"/>
    <pageSetUpPr/>
  </sheetPr>
  <dimension ref="A1:F5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8" customWidth="1" min="4" max="4"/>
    <col width="11" customWidth="1" min="5" max="5"/>
    <col width="13" customWidth="1" min="6" max="6"/>
  </cols>
  <sheetData>
    <row r="1">
      <c r="A1" s="15" t="inlineStr">
        <is>
          <t>FactTable · 规范化长表（数据层）</t>
        </is>
      </c>
    </row>
    <row r="2">
      <c r="A2" s="2" t="inlineStr">
        <is>
          <t>Dashboard 取数源：主体 × 业务线 × 地区 × 年份 × 科目 | 引擎影子值直写（黑字）| 万元</t>
        </is>
      </c>
    </row>
    <row r="3">
      <c r="A3" s="37" t="inlineStr">
        <is>
          <t>主体</t>
        </is>
      </c>
      <c r="B3" s="37" t="inlineStr">
        <is>
          <t>业务线</t>
        </is>
      </c>
      <c r="C3" s="37" t="inlineStr">
        <is>
          <t>地区</t>
        </is>
      </c>
      <c r="D3" s="37" t="inlineStr">
        <is>
          <t>年份</t>
        </is>
      </c>
      <c r="E3" s="37" t="inlineStr">
        <is>
          <t>科目</t>
        </is>
      </c>
      <c r="F3" s="37" t="inlineStr">
        <is>
          <t>金额</t>
        </is>
      </c>
    </row>
    <row r="4">
      <c r="A4" s="5" t="inlineStr">
        <is>
          <t>合并</t>
        </is>
      </c>
      <c r="B4" s="5" t="inlineStr">
        <is>
          <t>MaaS API</t>
        </is>
      </c>
      <c r="C4" s="5" t="inlineStr">
        <is>
          <t>华东</t>
        </is>
      </c>
      <c r="D4" s="38" t="n">
        <v>2023</v>
      </c>
      <c r="E4" s="5" t="inlineStr">
        <is>
          <t>收入</t>
        </is>
      </c>
      <c r="F4" s="8" t="n">
        <v>2107.875</v>
      </c>
    </row>
    <row r="5">
      <c r="A5" s="5" t="inlineStr">
        <is>
          <t>智擎云</t>
        </is>
      </c>
      <c r="B5" s="5" t="inlineStr">
        <is>
          <t>MaaS API</t>
        </is>
      </c>
      <c r="C5" s="5" t="inlineStr">
        <is>
          <t>华东</t>
        </is>
      </c>
      <c r="D5" s="38" t="n">
        <v>2023</v>
      </c>
      <c r="E5" s="5" t="inlineStr">
        <is>
          <t>收入</t>
        </is>
      </c>
      <c r="F5" s="8" t="n">
        <v>2107.875</v>
      </c>
    </row>
    <row r="6">
      <c r="A6" s="5" t="inlineStr">
        <is>
          <t>合并</t>
        </is>
      </c>
      <c r="B6" s="5" t="inlineStr">
        <is>
          <t>MaaS API</t>
        </is>
      </c>
      <c r="C6" s="5" t="inlineStr">
        <is>
          <t>华北</t>
        </is>
      </c>
      <c r="D6" s="38" t="n">
        <v>2023</v>
      </c>
      <c r="E6" s="5" t="inlineStr">
        <is>
          <t>收入</t>
        </is>
      </c>
      <c r="F6" s="8" t="n">
        <v>1806.75</v>
      </c>
    </row>
    <row r="7">
      <c r="A7" s="5" t="inlineStr">
        <is>
          <t>智擎云</t>
        </is>
      </c>
      <c r="B7" s="5" t="inlineStr">
        <is>
          <t>MaaS API</t>
        </is>
      </c>
      <c r="C7" s="5" t="inlineStr">
        <is>
          <t>华北</t>
        </is>
      </c>
      <c r="D7" s="38" t="n">
        <v>2023</v>
      </c>
      <c r="E7" s="5" t="inlineStr">
        <is>
          <t>收入</t>
        </is>
      </c>
      <c r="F7" s="8" t="n">
        <v>1806.75</v>
      </c>
    </row>
    <row r="8">
      <c r="A8" s="5" t="inlineStr">
        <is>
          <t>合并</t>
        </is>
      </c>
      <c r="B8" s="5" t="inlineStr">
        <is>
          <t>MaaS API</t>
        </is>
      </c>
      <c r="C8" s="5" t="inlineStr">
        <is>
          <t>华南</t>
        </is>
      </c>
      <c r="D8" s="38" t="n">
        <v>2023</v>
      </c>
      <c r="E8" s="5" t="inlineStr">
        <is>
          <t>收入</t>
        </is>
      </c>
      <c r="F8" s="8" t="n">
        <v>1204.5</v>
      </c>
    </row>
    <row r="9">
      <c r="A9" s="5" t="inlineStr">
        <is>
          <t>智擎云</t>
        </is>
      </c>
      <c r="B9" s="5" t="inlineStr">
        <is>
          <t>MaaS API</t>
        </is>
      </c>
      <c r="C9" s="5" t="inlineStr">
        <is>
          <t>华南</t>
        </is>
      </c>
      <c r="D9" s="38" t="n">
        <v>2023</v>
      </c>
      <c r="E9" s="5" t="inlineStr">
        <is>
          <t>收入</t>
        </is>
      </c>
      <c r="F9" s="8" t="n">
        <v>1204.5</v>
      </c>
    </row>
    <row r="10">
      <c r="A10" s="5" t="inlineStr">
        <is>
          <t>合并</t>
        </is>
      </c>
      <c r="B10" s="5" t="inlineStr">
        <is>
          <t>MaaS API</t>
        </is>
      </c>
      <c r="C10" s="5" t="inlineStr">
        <is>
          <t>海外</t>
        </is>
      </c>
      <c r="D10" s="38" t="n">
        <v>2023</v>
      </c>
      <c r="E10" s="5" t="inlineStr">
        <is>
          <t>收入</t>
        </is>
      </c>
      <c r="F10" s="8" t="n">
        <v>903.375</v>
      </c>
    </row>
    <row r="11">
      <c r="A11" s="5" t="inlineStr">
        <is>
          <t>智擎云</t>
        </is>
      </c>
      <c r="B11" s="5" t="inlineStr">
        <is>
          <t>MaaS API</t>
        </is>
      </c>
      <c r="C11" s="5" t="inlineStr">
        <is>
          <t>海外</t>
        </is>
      </c>
      <c r="D11" s="38" t="n">
        <v>2023</v>
      </c>
      <c r="E11" s="5" t="inlineStr">
        <is>
          <t>收入</t>
        </is>
      </c>
      <c r="F11" s="8" t="n">
        <v>903.375</v>
      </c>
    </row>
    <row r="12">
      <c r="A12" s="5" t="inlineStr">
        <is>
          <t>合并</t>
        </is>
      </c>
      <c r="B12" s="5" t="inlineStr">
        <is>
          <t>私有化部署</t>
        </is>
      </c>
      <c r="C12" s="5" t="inlineStr">
        <is>
          <t>华东</t>
        </is>
      </c>
      <c r="D12" s="38" t="n">
        <v>2023</v>
      </c>
      <c r="E12" s="5" t="inlineStr">
        <is>
          <t>收入</t>
        </is>
      </c>
      <c r="F12" s="8" t="n">
        <v>2800</v>
      </c>
    </row>
    <row r="13">
      <c r="A13" s="5" t="inlineStr">
        <is>
          <t>智擎行业</t>
        </is>
      </c>
      <c r="B13" s="5" t="inlineStr">
        <is>
          <t>私有化部署</t>
        </is>
      </c>
      <c r="C13" s="5" t="inlineStr">
        <is>
          <t>华东</t>
        </is>
      </c>
      <c r="D13" s="38" t="n">
        <v>2023</v>
      </c>
      <c r="E13" s="5" t="inlineStr">
        <is>
          <t>收入</t>
        </is>
      </c>
      <c r="F13" s="8" t="n">
        <v>2800</v>
      </c>
    </row>
    <row r="14">
      <c r="A14" s="5" t="inlineStr">
        <is>
          <t>合并</t>
        </is>
      </c>
      <c r="B14" s="5" t="inlineStr">
        <is>
          <t>私有化部署</t>
        </is>
      </c>
      <c r="C14" s="5" t="inlineStr">
        <is>
          <t>华北</t>
        </is>
      </c>
      <c r="D14" s="38" t="n">
        <v>2023</v>
      </c>
      <c r="E14" s="5" t="inlineStr">
        <is>
          <t>收入</t>
        </is>
      </c>
      <c r="F14" s="8" t="n">
        <v>2400</v>
      </c>
    </row>
    <row r="15">
      <c r="A15" s="5" t="inlineStr">
        <is>
          <t>智擎行业</t>
        </is>
      </c>
      <c r="B15" s="5" t="inlineStr">
        <is>
          <t>私有化部署</t>
        </is>
      </c>
      <c r="C15" s="5" t="inlineStr">
        <is>
          <t>华北</t>
        </is>
      </c>
      <c r="D15" s="38" t="n">
        <v>2023</v>
      </c>
      <c r="E15" s="5" t="inlineStr">
        <is>
          <t>收入</t>
        </is>
      </c>
      <c r="F15" s="8" t="n">
        <v>2400</v>
      </c>
    </row>
    <row r="16">
      <c r="A16" s="5" t="inlineStr">
        <is>
          <t>合并</t>
        </is>
      </c>
      <c r="B16" s="5" t="inlineStr">
        <is>
          <t>私有化部署</t>
        </is>
      </c>
      <c r="C16" s="5" t="inlineStr">
        <is>
          <t>华南</t>
        </is>
      </c>
      <c r="D16" s="38" t="n">
        <v>2023</v>
      </c>
      <c r="E16" s="5" t="inlineStr">
        <is>
          <t>收入</t>
        </is>
      </c>
      <c r="F16" s="8" t="n">
        <v>1600</v>
      </c>
    </row>
    <row r="17">
      <c r="A17" s="5" t="inlineStr">
        <is>
          <t>智擎行业</t>
        </is>
      </c>
      <c r="B17" s="5" t="inlineStr">
        <is>
          <t>私有化部署</t>
        </is>
      </c>
      <c r="C17" s="5" t="inlineStr">
        <is>
          <t>华南</t>
        </is>
      </c>
      <c r="D17" s="38" t="n">
        <v>2023</v>
      </c>
      <c r="E17" s="5" t="inlineStr">
        <is>
          <t>收入</t>
        </is>
      </c>
      <c r="F17" s="8" t="n">
        <v>1600</v>
      </c>
    </row>
    <row r="18">
      <c r="A18" s="5" t="inlineStr">
        <is>
          <t>合并</t>
        </is>
      </c>
      <c r="B18" s="5" t="inlineStr">
        <is>
          <t>私有化部署</t>
        </is>
      </c>
      <c r="C18" s="5" t="inlineStr">
        <is>
          <t>海外</t>
        </is>
      </c>
      <c r="D18" s="38" t="n">
        <v>2023</v>
      </c>
      <c r="E18" s="5" t="inlineStr">
        <is>
          <t>收入</t>
        </is>
      </c>
      <c r="F18" s="8" t="n">
        <v>1200</v>
      </c>
    </row>
    <row r="19">
      <c r="A19" s="5" t="inlineStr">
        <is>
          <t>智擎行业</t>
        </is>
      </c>
      <c r="B19" s="5" t="inlineStr">
        <is>
          <t>私有化部署</t>
        </is>
      </c>
      <c r="C19" s="5" t="inlineStr">
        <is>
          <t>海外</t>
        </is>
      </c>
      <c r="D19" s="38" t="n">
        <v>2023</v>
      </c>
      <c r="E19" s="5" t="inlineStr">
        <is>
          <t>收入</t>
        </is>
      </c>
      <c r="F19" s="8" t="n">
        <v>1200</v>
      </c>
    </row>
    <row r="20">
      <c r="A20" s="5" t="inlineStr">
        <is>
          <t>合并</t>
        </is>
      </c>
      <c r="B20" s="5" t="inlineStr">
        <is>
          <t>行业解决方案</t>
        </is>
      </c>
      <c r="C20" s="5" t="inlineStr">
        <is>
          <t>华东</t>
        </is>
      </c>
      <c r="D20" s="38" t="n">
        <v>2023</v>
      </c>
      <c r="E20" s="5" t="inlineStr">
        <is>
          <t>收入</t>
        </is>
      </c>
      <c r="F20" s="8" t="n">
        <v>420</v>
      </c>
    </row>
    <row r="21">
      <c r="A21" s="5" t="inlineStr">
        <is>
          <t>智擎行业</t>
        </is>
      </c>
      <c r="B21" s="5" t="inlineStr">
        <is>
          <t>行业解决方案</t>
        </is>
      </c>
      <c r="C21" s="5" t="inlineStr">
        <is>
          <t>华东</t>
        </is>
      </c>
      <c r="D21" s="38" t="n">
        <v>2023</v>
      </c>
      <c r="E21" s="5" t="inlineStr">
        <is>
          <t>收入</t>
        </is>
      </c>
      <c r="F21" s="8" t="n">
        <v>420</v>
      </c>
    </row>
    <row r="22">
      <c r="A22" s="5" t="inlineStr">
        <is>
          <t>合并</t>
        </is>
      </c>
      <c r="B22" s="5" t="inlineStr">
        <is>
          <t>行业解决方案</t>
        </is>
      </c>
      <c r="C22" s="5" t="inlineStr">
        <is>
          <t>华北</t>
        </is>
      </c>
      <c r="D22" s="38" t="n">
        <v>2023</v>
      </c>
      <c r="E22" s="5" t="inlineStr">
        <is>
          <t>收入</t>
        </is>
      </c>
      <c r="F22" s="8" t="n">
        <v>360</v>
      </c>
    </row>
    <row r="23">
      <c r="A23" s="5" t="inlineStr">
        <is>
          <t>智擎行业</t>
        </is>
      </c>
      <c r="B23" s="5" t="inlineStr">
        <is>
          <t>行业解决方案</t>
        </is>
      </c>
      <c r="C23" s="5" t="inlineStr">
        <is>
          <t>华北</t>
        </is>
      </c>
      <c r="D23" s="38" t="n">
        <v>2023</v>
      </c>
      <c r="E23" s="5" t="inlineStr">
        <is>
          <t>收入</t>
        </is>
      </c>
      <c r="F23" s="8" t="n">
        <v>360</v>
      </c>
    </row>
    <row r="24">
      <c r="A24" s="5" t="inlineStr">
        <is>
          <t>合并</t>
        </is>
      </c>
      <c r="B24" s="5" t="inlineStr">
        <is>
          <t>行业解决方案</t>
        </is>
      </c>
      <c r="C24" s="5" t="inlineStr">
        <is>
          <t>华南</t>
        </is>
      </c>
      <c r="D24" s="38" t="n">
        <v>2023</v>
      </c>
      <c r="E24" s="5" t="inlineStr">
        <is>
          <t>收入</t>
        </is>
      </c>
      <c r="F24" s="8" t="n">
        <v>240</v>
      </c>
    </row>
    <row r="25">
      <c r="A25" s="5" t="inlineStr">
        <is>
          <t>智擎行业</t>
        </is>
      </c>
      <c r="B25" s="5" t="inlineStr">
        <is>
          <t>行业解决方案</t>
        </is>
      </c>
      <c r="C25" s="5" t="inlineStr">
        <is>
          <t>华南</t>
        </is>
      </c>
      <c r="D25" s="38" t="n">
        <v>2023</v>
      </c>
      <c r="E25" s="5" t="inlineStr">
        <is>
          <t>收入</t>
        </is>
      </c>
      <c r="F25" s="8" t="n">
        <v>240</v>
      </c>
    </row>
    <row r="26">
      <c r="A26" s="5" t="inlineStr">
        <is>
          <t>合并</t>
        </is>
      </c>
      <c r="B26" s="5" t="inlineStr">
        <is>
          <t>行业解决方案</t>
        </is>
      </c>
      <c r="C26" s="5" t="inlineStr">
        <is>
          <t>海外</t>
        </is>
      </c>
      <c r="D26" s="38" t="n">
        <v>2023</v>
      </c>
      <c r="E26" s="5" t="inlineStr">
        <is>
          <t>收入</t>
        </is>
      </c>
      <c r="F26" s="8" t="n">
        <v>180</v>
      </c>
    </row>
    <row r="27">
      <c r="A27" s="5" t="inlineStr">
        <is>
          <t>智擎行业</t>
        </is>
      </c>
      <c r="B27" s="5" t="inlineStr">
        <is>
          <t>行业解决方案</t>
        </is>
      </c>
      <c r="C27" s="5" t="inlineStr">
        <is>
          <t>海外</t>
        </is>
      </c>
      <c r="D27" s="38" t="n">
        <v>2023</v>
      </c>
      <c r="E27" s="5" t="inlineStr">
        <is>
          <t>收入</t>
        </is>
      </c>
      <c r="F27" s="8" t="n">
        <v>180</v>
      </c>
    </row>
    <row r="28">
      <c r="A28" s="5" t="inlineStr">
        <is>
          <t>合并</t>
        </is>
      </c>
      <c r="B28" s="5" t="inlineStr">
        <is>
          <t>C端订阅</t>
        </is>
      </c>
      <c r="C28" s="5" t="inlineStr">
        <is>
          <t>华东</t>
        </is>
      </c>
      <c r="D28" s="38" t="n">
        <v>2023</v>
      </c>
      <c r="E28" s="5" t="inlineStr">
        <is>
          <t>收入</t>
        </is>
      </c>
      <c r="F28" s="8" t="n">
        <v>630</v>
      </c>
    </row>
    <row r="29">
      <c r="A29" s="5" t="inlineStr">
        <is>
          <t>智擎互联</t>
        </is>
      </c>
      <c r="B29" s="5" t="inlineStr">
        <is>
          <t>C端订阅</t>
        </is>
      </c>
      <c r="C29" s="5" t="inlineStr">
        <is>
          <t>华东</t>
        </is>
      </c>
      <c r="D29" s="38" t="n">
        <v>2023</v>
      </c>
      <c r="E29" s="5" t="inlineStr">
        <is>
          <t>收入</t>
        </is>
      </c>
      <c r="F29" s="8" t="n">
        <v>630</v>
      </c>
    </row>
    <row r="30">
      <c r="A30" s="5" t="inlineStr">
        <is>
          <t>合并</t>
        </is>
      </c>
      <c r="B30" s="5" t="inlineStr">
        <is>
          <t>C端订阅</t>
        </is>
      </c>
      <c r="C30" s="5" t="inlineStr">
        <is>
          <t>华北</t>
        </is>
      </c>
      <c r="D30" s="38" t="n">
        <v>2023</v>
      </c>
      <c r="E30" s="5" t="inlineStr">
        <is>
          <t>收入</t>
        </is>
      </c>
      <c r="F30" s="8" t="n">
        <v>540</v>
      </c>
    </row>
    <row r="31">
      <c r="A31" s="5" t="inlineStr">
        <is>
          <t>智擎互联</t>
        </is>
      </c>
      <c r="B31" s="5" t="inlineStr">
        <is>
          <t>C端订阅</t>
        </is>
      </c>
      <c r="C31" s="5" t="inlineStr">
        <is>
          <t>华北</t>
        </is>
      </c>
      <c r="D31" s="38" t="n">
        <v>2023</v>
      </c>
      <c r="E31" s="5" t="inlineStr">
        <is>
          <t>收入</t>
        </is>
      </c>
      <c r="F31" s="8" t="n">
        <v>540</v>
      </c>
    </row>
    <row r="32">
      <c r="A32" s="5" t="inlineStr">
        <is>
          <t>合并</t>
        </is>
      </c>
      <c r="B32" s="5" t="inlineStr">
        <is>
          <t>C端订阅</t>
        </is>
      </c>
      <c r="C32" s="5" t="inlineStr">
        <is>
          <t>华南</t>
        </is>
      </c>
      <c r="D32" s="38" t="n">
        <v>2023</v>
      </c>
      <c r="E32" s="5" t="inlineStr">
        <is>
          <t>收入</t>
        </is>
      </c>
      <c r="F32" s="8" t="n">
        <v>360</v>
      </c>
    </row>
    <row r="33">
      <c r="A33" s="5" t="inlineStr">
        <is>
          <t>智擎互联</t>
        </is>
      </c>
      <c r="B33" s="5" t="inlineStr">
        <is>
          <t>C端订阅</t>
        </is>
      </c>
      <c r="C33" s="5" t="inlineStr">
        <is>
          <t>华南</t>
        </is>
      </c>
      <c r="D33" s="38" t="n">
        <v>2023</v>
      </c>
      <c r="E33" s="5" t="inlineStr">
        <is>
          <t>收入</t>
        </is>
      </c>
      <c r="F33" s="8" t="n">
        <v>360</v>
      </c>
    </row>
    <row r="34">
      <c r="A34" s="5" t="inlineStr">
        <is>
          <t>合并</t>
        </is>
      </c>
      <c r="B34" s="5" t="inlineStr">
        <is>
          <t>C端订阅</t>
        </is>
      </c>
      <c r="C34" s="5" t="inlineStr">
        <is>
          <t>海外</t>
        </is>
      </c>
      <c r="D34" s="38" t="n">
        <v>2023</v>
      </c>
      <c r="E34" s="5" t="inlineStr">
        <is>
          <t>收入</t>
        </is>
      </c>
      <c r="F34" s="8" t="n">
        <v>270</v>
      </c>
    </row>
    <row r="35">
      <c r="A35" s="5" t="inlineStr">
        <is>
          <t>智擎互联</t>
        </is>
      </c>
      <c r="B35" s="5" t="inlineStr">
        <is>
          <t>C端订阅</t>
        </is>
      </c>
      <c r="C35" s="5" t="inlineStr">
        <is>
          <t>海外</t>
        </is>
      </c>
      <c r="D35" s="38" t="n">
        <v>2023</v>
      </c>
      <c r="E35" s="5" t="inlineStr">
        <is>
          <t>收入</t>
        </is>
      </c>
      <c r="F35" s="8" t="n">
        <v>270</v>
      </c>
    </row>
    <row r="36">
      <c r="A36" s="5" t="inlineStr">
        <is>
          <t>合并</t>
        </is>
      </c>
      <c r="B36" s="5" t="inlineStr">
        <is>
          <t>广告及其他</t>
        </is>
      </c>
      <c r="C36" s="5" t="inlineStr">
        <is>
          <t>华东</t>
        </is>
      </c>
      <c r="D36" s="38" t="n">
        <v>2023</v>
      </c>
      <c r="E36" s="5" t="inlineStr">
        <is>
          <t>收入</t>
        </is>
      </c>
      <c r="F36" s="8" t="n">
        <v>140</v>
      </c>
    </row>
    <row r="37">
      <c r="A37" s="5" t="inlineStr">
        <is>
          <t>智擎互联</t>
        </is>
      </c>
      <c r="B37" s="5" t="inlineStr">
        <is>
          <t>广告及其他</t>
        </is>
      </c>
      <c r="C37" s="5" t="inlineStr">
        <is>
          <t>华东</t>
        </is>
      </c>
      <c r="D37" s="38" t="n">
        <v>2023</v>
      </c>
      <c r="E37" s="5" t="inlineStr">
        <is>
          <t>收入</t>
        </is>
      </c>
      <c r="F37" s="8" t="n">
        <v>140</v>
      </c>
    </row>
    <row r="38">
      <c r="A38" s="5" t="inlineStr">
        <is>
          <t>合并</t>
        </is>
      </c>
      <c r="B38" s="5" t="inlineStr">
        <is>
          <t>广告及其他</t>
        </is>
      </c>
      <c r="C38" s="5" t="inlineStr">
        <is>
          <t>华北</t>
        </is>
      </c>
      <c r="D38" s="38" t="n">
        <v>2023</v>
      </c>
      <c r="E38" s="5" t="inlineStr">
        <is>
          <t>收入</t>
        </is>
      </c>
      <c r="F38" s="8" t="n">
        <v>120</v>
      </c>
    </row>
    <row r="39">
      <c r="A39" s="5" t="inlineStr">
        <is>
          <t>智擎互联</t>
        </is>
      </c>
      <c r="B39" s="5" t="inlineStr">
        <is>
          <t>广告及其他</t>
        </is>
      </c>
      <c r="C39" s="5" t="inlineStr">
        <is>
          <t>华北</t>
        </is>
      </c>
      <c r="D39" s="38" t="n">
        <v>2023</v>
      </c>
      <c r="E39" s="5" t="inlineStr">
        <is>
          <t>收入</t>
        </is>
      </c>
      <c r="F39" s="8" t="n">
        <v>120</v>
      </c>
    </row>
    <row r="40">
      <c r="A40" s="5" t="inlineStr">
        <is>
          <t>合并</t>
        </is>
      </c>
      <c r="B40" s="5" t="inlineStr">
        <is>
          <t>广告及其他</t>
        </is>
      </c>
      <c r="C40" s="5" t="inlineStr">
        <is>
          <t>华南</t>
        </is>
      </c>
      <c r="D40" s="38" t="n">
        <v>2023</v>
      </c>
      <c r="E40" s="5" t="inlineStr">
        <is>
          <t>收入</t>
        </is>
      </c>
      <c r="F40" s="8" t="n">
        <v>80</v>
      </c>
    </row>
    <row r="41">
      <c r="A41" s="5" t="inlineStr">
        <is>
          <t>智擎互联</t>
        </is>
      </c>
      <c r="B41" s="5" t="inlineStr">
        <is>
          <t>广告及其他</t>
        </is>
      </c>
      <c r="C41" s="5" t="inlineStr">
        <is>
          <t>华南</t>
        </is>
      </c>
      <c r="D41" s="38" t="n">
        <v>2023</v>
      </c>
      <c r="E41" s="5" t="inlineStr">
        <is>
          <t>收入</t>
        </is>
      </c>
      <c r="F41" s="8" t="n">
        <v>80</v>
      </c>
    </row>
    <row r="42">
      <c r="A42" s="5" t="inlineStr">
        <is>
          <t>合并</t>
        </is>
      </c>
      <c r="B42" s="5" t="inlineStr">
        <is>
          <t>广告及其他</t>
        </is>
      </c>
      <c r="C42" s="5" t="inlineStr">
        <is>
          <t>海外</t>
        </is>
      </c>
      <c r="D42" s="38" t="n">
        <v>2023</v>
      </c>
      <c r="E42" s="5" t="inlineStr">
        <is>
          <t>收入</t>
        </is>
      </c>
      <c r="F42" s="8" t="n">
        <v>60</v>
      </c>
    </row>
    <row r="43">
      <c r="A43" s="5" t="inlineStr">
        <is>
          <t>智擎互联</t>
        </is>
      </c>
      <c r="B43" s="5" t="inlineStr">
        <is>
          <t>广告及其他</t>
        </is>
      </c>
      <c r="C43" s="5" t="inlineStr">
        <is>
          <t>海外</t>
        </is>
      </c>
      <c r="D43" s="38" t="n">
        <v>2023</v>
      </c>
      <c r="E43" s="5" t="inlineStr">
        <is>
          <t>收入</t>
        </is>
      </c>
      <c r="F43" s="8" t="n">
        <v>60</v>
      </c>
    </row>
    <row r="44">
      <c r="A44" s="5" t="inlineStr">
        <is>
          <t>智擎云</t>
        </is>
      </c>
      <c r="B44" s="5" t="inlineStr">
        <is>
          <t>MaaS API</t>
        </is>
      </c>
      <c r="C44" s="5" t="inlineStr">
        <is>
          <t>集团</t>
        </is>
      </c>
      <c r="D44" s="38" t="n">
        <v>2023</v>
      </c>
      <c r="E44" s="5" t="inlineStr">
        <is>
          <t>成本</t>
        </is>
      </c>
      <c r="F44" s="8" t="n">
        <v>3037.5</v>
      </c>
    </row>
    <row r="45">
      <c r="A45" s="5" t="inlineStr">
        <is>
          <t>合并</t>
        </is>
      </c>
      <c r="B45" s="5" t="inlineStr">
        <is>
          <t>MaaS API</t>
        </is>
      </c>
      <c r="C45" s="5" t="inlineStr">
        <is>
          <t>集团</t>
        </is>
      </c>
      <c r="D45" s="38" t="n">
        <v>2023</v>
      </c>
      <c r="E45" s="5" t="inlineStr">
        <is>
          <t>成本</t>
        </is>
      </c>
      <c r="F45" s="8" t="n">
        <v>3037.5</v>
      </c>
    </row>
    <row r="46">
      <c r="A46" s="5" t="inlineStr">
        <is>
          <t>智擎行业</t>
        </is>
      </c>
      <c r="B46" s="5" t="inlineStr">
        <is>
          <t>私有化部署</t>
        </is>
      </c>
      <c r="C46" s="5" t="inlineStr">
        <is>
          <t>集团</t>
        </is>
      </c>
      <c r="D46" s="38" t="n">
        <v>2023</v>
      </c>
      <c r="E46" s="5" t="inlineStr">
        <is>
          <t>成本</t>
        </is>
      </c>
      <c r="F46" s="8" t="n">
        <v>4880</v>
      </c>
    </row>
    <row r="47">
      <c r="A47" s="5" t="inlineStr">
        <is>
          <t>合并</t>
        </is>
      </c>
      <c r="B47" s="5" t="inlineStr">
        <is>
          <t>私有化部署</t>
        </is>
      </c>
      <c r="C47" s="5" t="inlineStr">
        <is>
          <t>集团</t>
        </is>
      </c>
      <c r="D47" s="38" t="n">
        <v>2023</v>
      </c>
      <c r="E47" s="5" t="inlineStr">
        <is>
          <t>成本</t>
        </is>
      </c>
      <c r="F47" s="8" t="n">
        <v>4880</v>
      </c>
    </row>
    <row r="48">
      <c r="A48" s="5" t="inlineStr">
        <is>
          <t>智擎行业</t>
        </is>
      </c>
      <c r="B48" s="5" t="inlineStr">
        <is>
          <t>行业解决方案</t>
        </is>
      </c>
      <c r="C48" s="5" t="inlineStr">
        <is>
          <t>集团</t>
        </is>
      </c>
      <c r="D48" s="38" t="n">
        <v>2023</v>
      </c>
      <c r="E48" s="5" t="inlineStr">
        <is>
          <t>成本</t>
        </is>
      </c>
      <c r="F48" s="8" t="n">
        <v>504</v>
      </c>
    </row>
    <row r="49">
      <c r="A49" s="5" t="inlineStr">
        <is>
          <t>合并</t>
        </is>
      </c>
      <c r="B49" s="5" t="inlineStr">
        <is>
          <t>行业解决方案</t>
        </is>
      </c>
      <c r="C49" s="5" t="inlineStr">
        <is>
          <t>集团</t>
        </is>
      </c>
      <c r="D49" s="38" t="n">
        <v>2023</v>
      </c>
      <c r="E49" s="5" t="inlineStr">
        <is>
          <t>成本</t>
        </is>
      </c>
      <c r="F49" s="8" t="n">
        <v>504</v>
      </c>
    </row>
    <row r="50">
      <c r="A50" s="5" t="inlineStr">
        <is>
          <t>智擎互联</t>
        </is>
      </c>
      <c r="B50" s="5" t="inlineStr">
        <is>
          <t>C端订阅</t>
        </is>
      </c>
      <c r="C50" s="5" t="inlineStr">
        <is>
          <t>集团</t>
        </is>
      </c>
      <c r="D50" s="38" t="n">
        <v>2023</v>
      </c>
      <c r="E50" s="5" t="inlineStr">
        <is>
          <t>成本</t>
        </is>
      </c>
      <c r="F50" s="8" t="n">
        <v>1656</v>
      </c>
    </row>
    <row r="51">
      <c r="A51" s="5" t="inlineStr">
        <is>
          <t>合并</t>
        </is>
      </c>
      <c r="B51" s="5" t="inlineStr">
        <is>
          <t>C端订阅</t>
        </is>
      </c>
      <c r="C51" s="5" t="inlineStr">
        <is>
          <t>集团</t>
        </is>
      </c>
      <c r="D51" s="38" t="n">
        <v>2023</v>
      </c>
      <c r="E51" s="5" t="inlineStr">
        <is>
          <t>成本</t>
        </is>
      </c>
      <c r="F51" s="8" t="n">
        <v>1656</v>
      </c>
    </row>
    <row r="52">
      <c r="A52" s="5" t="inlineStr">
        <is>
          <t>智擎互联</t>
        </is>
      </c>
      <c r="B52" s="5" t="inlineStr">
        <is>
          <t>广告及其他</t>
        </is>
      </c>
      <c r="C52" s="5" t="inlineStr">
        <is>
          <t>集团</t>
        </is>
      </c>
      <c r="D52" s="38" t="n">
        <v>2023</v>
      </c>
      <c r="E52" s="5" t="inlineStr">
        <is>
          <t>成本</t>
        </is>
      </c>
      <c r="F52" s="8" t="n">
        <v>0</v>
      </c>
    </row>
    <row r="53">
      <c r="A53" s="5" t="inlineStr">
        <is>
          <t>合并</t>
        </is>
      </c>
      <c r="B53" s="5" t="inlineStr">
        <is>
          <t>广告及其他</t>
        </is>
      </c>
      <c r="C53" s="5" t="inlineStr">
        <is>
          <t>集团</t>
        </is>
      </c>
      <c r="D53" s="38" t="n">
        <v>2023</v>
      </c>
      <c r="E53" s="5" t="inlineStr">
        <is>
          <t>成本</t>
        </is>
      </c>
      <c r="F53" s="8" t="n">
        <v>0</v>
      </c>
    </row>
    <row r="54">
      <c r="A54" s="5" t="inlineStr">
        <is>
          <t>智擎研究院</t>
        </is>
      </c>
      <c r="B54" s="5" t="inlineStr">
        <is>
          <t>集团</t>
        </is>
      </c>
      <c r="C54" s="5" t="inlineStr">
        <is>
          <t>集团</t>
        </is>
      </c>
      <c r="D54" s="38" t="n">
        <v>2023</v>
      </c>
      <c r="E54" s="5" t="inlineStr">
        <is>
          <t>研发费用</t>
        </is>
      </c>
      <c r="F54" s="8" t="n">
        <v>42500</v>
      </c>
    </row>
    <row r="55">
      <c r="A55" s="5" t="inlineStr">
        <is>
          <t>合并</t>
        </is>
      </c>
      <c r="B55" s="5" t="inlineStr">
        <is>
          <t>集团</t>
        </is>
      </c>
      <c r="C55" s="5" t="inlineStr">
        <is>
          <t>集团</t>
        </is>
      </c>
      <c r="D55" s="38" t="n">
        <v>2023</v>
      </c>
      <c r="E55" s="5" t="inlineStr">
        <is>
          <t>研发费用</t>
        </is>
      </c>
      <c r="F55" s="8" t="n">
        <v>61400</v>
      </c>
    </row>
    <row r="56">
      <c r="A56" s="5" t="inlineStr">
        <is>
          <t>智擎研究院</t>
        </is>
      </c>
      <c r="B56" s="5" t="inlineStr">
        <is>
          <t>集团</t>
        </is>
      </c>
      <c r="C56" s="5" t="inlineStr">
        <is>
          <t>集团</t>
        </is>
      </c>
      <c r="D56" s="38" t="n">
        <v>2023</v>
      </c>
      <c r="E56" s="5" t="inlineStr">
        <is>
          <t>销售费用</t>
        </is>
      </c>
      <c r="F56" s="8" t="n">
        <v>0</v>
      </c>
    </row>
    <row r="57">
      <c r="A57" s="5" t="inlineStr">
        <is>
          <t>合并</t>
        </is>
      </c>
      <c r="B57" s="5" t="inlineStr">
        <is>
          <t>集团</t>
        </is>
      </c>
      <c r="C57" s="5" t="inlineStr">
        <is>
          <t>集团</t>
        </is>
      </c>
      <c r="D57" s="38" t="n">
        <v>2023</v>
      </c>
      <c r="E57" s="5" t="inlineStr">
        <is>
          <t>销售费用</t>
        </is>
      </c>
      <c r="F57" s="8" t="n">
        <v>7150</v>
      </c>
    </row>
    <row r="58">
      <c r="A58" s="5" t="inlineStr">
        <is>
          <t>智擎研究院</t>
        </is>
      </c>
      <c r="B58" s="5" t="inlineStr">
        <is>
          <t>集团</t>
        </is>
      </c>
      <c r="C58" s="5" t="inlineStr">
        <is>
          <t>集团</t>
        </is>
      </c>
      <c r="D58" s="38" t="n">
        <v>2023</v>
      </c>
      <c r="E58" s="5" t="inlineStr">
        <is>
          <t>管理费用</t>
        </is>
      </c>
      <c r="F58" s="8" t="n">
        <v>825</v>
      </c>
    </row>
    <row r="59">
      <c r="A59" s="5" t="inlineStr">
        <is>
          <t>合并</t>
        </is>
      </c>
      <c r="B59" s="5" t="inlineStr">
        <is>
          <t>集团</t>
        </is>
      </c>
      <c r="C59" s="5" t="inlineStr">
        <is>
          <t>集团</t>
        </is>
      </c>
      <c r="D59" s="38" t="n">
        <v>2023</v>
      </c>
      <c r="E59" s="5" t="inlineStr">
        <is>
          <t>管理费用</t>
        </is>
      </c>
      <c r="F59" s="8" t="n">
        <v>3300</v>
      </c>
    </row>
    <row r="60">
      <c r="A60" s="5" t="inlineStr">
        <is>
          <t>智擎云</t>
        </is>
      </c>
      <c r="B60" s="5" t="inlineStr">
        <is>
          <t>集团</t>
        </is>
      </c>
      <c r="C60" s="5" t="inlineStr">
        <is>
          <t>集团</t>
        </is>
      </c>
      <c r="D60" s="38" t="n">
        <v>2023</v>
      </c>
      <c r="E60" s="5" t="inlineStr">
        <is>
          <t>研发费用</t>
        </is>
      </c>
      <c r="F60" s="8" t="n">
        <v>10500</v>
      </c>
    </row>
    <row r="61">
      <c r="A61" s="5" t="inlineStr">
        <is>
          <t>合并</t>
        </is>
      </c>
      <c r="B61" s="5" t="inlineStr">
        <is>
          <t>集团</t>
        </is>
      </c>
      <c r="C61" s="5" t="inlineStr">
        <is>
          <t>集团</t>
        </is>
      </c>
      <c r="D61" s="38" t="n">
        <v>2023</v>
      </c>
      <c r="E61" s="5" t="inlineStr">
        <is>
          <t>研发费用</t>
        </is>
      </c>
      <c r="F61" s="8" t="n">
        <v>61400</v>
      </c>
    </row>
    <row r="62">
      <c r="A62" s="5" t="inlineStr">
        <is>
          <t>智擎云</t>
        </is>
      </c>
      <c r="B62" s="5" t="inlineStr">
        <is>
          <t>集团</t>
        </is>
      </c>
      <c r="C62" s="5" t="inlineStr">
        <is>
          <t>集团</t>
        </is>
      </c>
      <c r="D62" s="38" t="n">
        <v>2023</v>
      </c>
      <c r="E62" s="5" t="inlineStr">
        <is>
          <t>销售费用</t>
        </is>
      </c>
      <c r="F62" s="8" t="n">
        <v>1800</v>
      </c>
    </row>
    <row r="63">
      <c r="A63" s="5" t="inlineStr">
        <is>
          <t>合并</t>
        </is>
      </c>
      <c r="B63" s="5" t="inlineStr">
        <is>
          <t>集团</t>
        </is>
      </c>
      <c r="C63" s="5" t="inlineStr">
        <is>
          <t>集团</t>
        </is>
      </c>
      <c r="D63" s="38" t="n">
        <v>2023</v>
      </c>
      <c r="E63" s="5" t="inlineStr">
        <is>
          <t>销售费用</t>
        </is>
      </c>
      <c r="F63" s="8" t="n">
        <v>7150</v>
      </c>
    </row>
    <row r="64">
      <c r="A64" s="5" t="inlineStr">
        <is>
          <t>智擎云</t>
        </is>
      </c>
      <c r="B64" s="5" t="inlineStr">
        <is>
          <t>集团</t>
        </is>
      </c>
      <c r="C64" s="5" t="inlineStr">
        <is>
          <t>集团</t>
        </is>
      </c>
      <c r="D64" s="38" t="n">
        <v>2023</v>
      </c>
      <c r="E64" s="5" t="inlineStr">
        <is>
          <t>管理费用</t>
        </is>
      </c>
      <c r="F64" s="8" t="n">
        <v>1100</v>
      </c>
    </row>
    <row r="65">
      <c r="A65" s="5" t="inlineStr">
        <is>
          <t>合并</t>
        </is>
      </c>
      <c r="B65" s="5" t="inlineStr">
        <is>
          <t>集团</t>
        </is>
      </c>
      <c r="C65" s="5" t="inlineStr">
        <is>
          <t>集团</t>
        </is>
      </c>
      <c r="D65" s="38" t="n">
        <v>2023</v>
      </c>
      <c r="E65" s="5" t="inlineStr">
        <is>
          <t>管理费用</t>
        </is>
      </c>
      <c r="F65" s="8" t="n">
        <v>3300</v>
      </c>
    </row>
    <row r="66">
      <c r="A66" s="5" t="inlineStr">
        <is>
          <t>智擎行业</t>
        </is>
      </c>
      <c r="B66" s="5" t="inlineStr">
        <is>
          <t>集团</t>
        </is>
      </c>
      <c r="C66" s="5" t="inlineStr">
        <is>
          <t>集团</t>
        </is>
      </c>
      <c r="D66" s="38" t="n">
        <v>2023</v>
      </c>
      <c r="E66" s="5" t="inlineStr">
        <is>
          <t>研发费用</t>
        </is>
      </c>
      <c r="F66" s="8" t="n">
        <v>2800</v>
      </c>
    </row>
    <row r="67">
      <c r="A67" s="5" t="inlineStr">
        <is>
          <t>合并</t>
        </is>
      </c>
      <c r="B67" s="5" t="inlineStr">
        <is>
          <t>集团</t>
        </is>
      </c>
      <c r="C67" s="5" t="inlineStr">
        <is>
          <t>集团</t>
        </is>
      </c>
      <c r="D67" s="38" t="n">
        <v>2023</v>
      </c>
      <c r="E67" s="5" t="inlineStr">
        <is>
          <t>研发费用</t>
        </is>
      </c>
      <c r="F67" s="8" t="n">
        <v>61400</v>
      </c>
    </row>
    <row r="68">
      <c r="A68" s="5" t="inlineStr">
        <is>
          <t>智擎行业</t>
        </is>
      </c>
      <c r="B68" s="5" t="inlineStr">
        <is>
          <t>集团</t>
        </is>
      </c>
      <c r="C68" s="5" t="inlineStr">
        <is>
          <t>集团</t>
        </is>
      </c>
      <c r="D68" s="38" t="n">
        <v>2023</v>
      </c>
      <c r="E68" s="5" t="inlineStr">
        <is>
          <t>销售费用</t>
        </is>
      </c>
      <c r="F68" s="8" t="n">
        <v>1200</v>
      </c>
    </row>
    <row r="69">
      <c r="A69" s="5" t="inlineStr">
        <is>
          <t>合并</t>
        </is>
      </c>
      <c r="B69" s="5" t="inlineStr">
        <is>
          <t>集团</t>
        </is>
      </c>
      <c r="C69" s="5" t="inlineStr">
        <is>
          <t>集团</t>
        </is>
      </c>
      <c r="D69" s="38" t="n">
        <v>2023</v>
      </c>
      <c r="E69" s="5" t="inlineStr">
        <is>
          <t>销售费用</t>
        </is>
      </c>
      <c r="F69" s="8" t="n">
        <v>7150</v>
      </c>
    </row>
    <row r="70">
      <c r="A70" s="5" t="inlineStr">
        <is>
          <t>智擎行业</t>
        </is>
      </c>
      <c r="B70" s="5" t="inlineStr">
        <is>
          <t>集团</t>
        </is>
      </c>
      <c r="C70" s="5" t="inlineStr">
        <is>
          <t>集团</t>
        </is>
      </c>
      <c r="D70" s="38" t="n">
        <v>2023</v>
      </c>
      <c r="E70" s="5" t="inlineStr">
        <is>
          <t>管理费用</t>
        </is>
      </c>
      <c r="F70" s="8" t="n">
        <v>825</v>
      </c>
    </row>
    <row r="71">
      <c r="A71" s="5" t="inlineStr">
        <is>
          <t>合并</t>
        </is>
      </c>
      <c r="B71" s="5" t="inlineStr">
        <is>
          <t>集团</t>
        </is>
      </c>
      <c r="C71" s="5" t="inlineStr">
        <is>
          <t>集团</t>
        </is>
      </c>
      <c r="D71" s="38" t="n">
        <v>2023</v>
      </c>
      <c r="E71" s="5" t="inlineStr">
        <is>
          <t>管理费用</t>
        </is>
      </c>
      <c r="F71" s="8" t="n">
        <v>3300</v>
      </c>
    </row>
    <row r="72">
      <c r="A72" s="5" t="inlineStr">
        <is>
          <t>智擎互联</t>
        </is>
      </c>
      <c r="B72" s="5" t="inlineStr">
        <is>
          <t>集团</t>
        </is>
      </c>
      <c r="C72" s="5" t="inlineStr">
        <is>
          <t>集团</t>
        </is>
      </c>
      <c r="D72" s="38" t="n">
        <v>2023</v>
      </c>
      <c r="E72" s="5" t="inlineStr">
        <is>
          <t>研发费用</t>
        </is>
      </c>
      <c r="F72" s="8" t="n">
        <v>5600</v>
      </c>
    </row>
    <row r="73">
      <c r="A73" s="5" t="inlineStr">
        <is>
          <t>合并</t>
        </is>
      </c>
      <c r="B73" s="5" t="inlineStr">
        <is>
          <t>集团</t>
        </is>
      </c>
      <c r="C73" s="5" t="inlineStr">
        <is>
          <t>集团</t>
        </is>
      </c>
      <c r="D73" s="38" t="n">
        <v>2023</v>
      </c>
      <c r="E73" s="5" t="inlineStr">
        <is>
          <t>研发费用</t>
        </is>
      </c>
      <c r="F73" s="8" t="n">
        <v>61400</v>
      </c>
    </row>
    <row r="74">
      <c r="A74" s="5" t="inlineStr">
        <is>
          <t>智擎互联</t>
        </is>
      </c>
      <c r="B74" s="5" t="inlineStr">
        <is>
          <t>集团</t>
        </is>
      </c>
      <c r="C74" s="5" t="inlineStr">
        <is>
          <t>集团</t>
        </is>
      </c>
      <c r="D74" s="38" t="n">
        <v>2023</v>
      </c>
      <c r="E74" s="5" t="inlineStr">
        <is>
          <t>销售费用</t>
        </is>
      </c>
      <c r="F74" s="8" t="n">
        <v>4150</v>
      </c>
    </row>
    <row r="75">
      <c r="A75" s="5" t="inlineStr">
        <is>
          <t>合并</t>
        </is>
      </c>
      <c r="B75" s="5" t="inlineStr">
        <is>
          <t>集团</t>
        </is>
      </c>
      <c r="C75" s="5" t="inlineStr">
        <is>
          <t>集团</t>
        </is>
      </c>
      <c r="D75" s="38" t="n">
        <v>2023</v>
      </c>
      <c r="E75" s="5" t="inlineStr">
        <is>
          <t>销售费用</t>
        </is>
      </c>
      <c r="F75" s="8" t="n">
        <v>7150</v>
      </c>
    </row>
    <row r="76">
      <c r="A76" s="5" t="inlineStr">
        <is>
          <t>智擎互联</t>
        </is>
      </c>
      <c r="B76" s="5" t="inlineStr">
        <is>
          <t>集团</t>
        </is>
      </c>
      <c r="C76" s="5" t="inlineStr">
        <is>
          <t>集团</t>
        </is>
      </c>
      <c r="D76" s="38" t="n">
        <v>2023</v>
      </c>
      <c r="E76" s="5" t="inlineStr">
        <is>
          <t>管理费用</t>
        </is>
      </c>
      <c r="F76" s="8" t="n">
        <v>550</v>
      </c>
    </row>
    <row r="77">
      <c r="A77" s="5" t="inlineStr">
        <is>
          <t>合并</t>
        </is>
      </c>
      <c r="B77" s="5" t="inlineStr">
        <is>
          <t>集团</t>
        </is>
      </c>
      <c r="C77" s="5" t="inlineStr">
        <is>
          <t>集团</t>
        </is>
      </c>
      <c r="D77" s="38" t="n">
        <v>2023</v>
      </c>
      <c r="E77" s="5" t="inlineStr">
        <is>
          <t>管理费用</t>
        </is>
      </c>
      <c r="F77" s="8" t="n">
        <v>3300</v>
      </c>
    </row>
    <row r="78">
      <c r="A78" s="5" t="inlineStr">
        <is>
          <t>智擎研究院</t>
        </is>
      </c>
      <c r="B78" s="5" t="inlineStr">
        <is>
          <t>集团</t>
        </is>
      </c>
      <c r="C78" s="5" t="inlineStr">
        <is>
          <t>集团</t>
        </is>
      </c>
      <c r="D78" s="38" t="n">
        <v>2023</v>
      </c>
      <c r="E78" s="5" t="inlineStr">
        <is>
          <t>净利润</t>
        </is>
      </c>
      <c r="F78" s="8" t="n">
        <v>-39646.3</v>
      </c>
    </row>
    <row r="79">
      <c r="A79" s="5" t="inlineStr">
        <is>
          <t>智擎研究院</t>
        </is>
      </c>
      <c r="B79" s="5" t="inlineStr">
        <is>
          <t>集团</t>
        </is>
      </c>
      <c r="C79" s="5" t="inlineStr">
        <is>
          <t>集团</t>
        </is>
      </c>
      <c r="D79" s="38" t="n">
        <v>2023</v>
      </c>
      <c r="E79" s="5" t="inlineStr">
        <is>
          <t>现金</t>
        </is>
      </c>
      <c r="F79" s="8" t="n">
        <v>1594.530137</v>
      </c>
    </row>
    <row r="80">
      <c r="A80" s="5" t="inlineStr">
        <is>
          <t>智擎研究院</t>
        </is>
      </c>
      <c r="B80" s="5" t="inlineStr">
        <is>
          <t>集团</t>
        </is>
      </c>
      <c r="C80" s="5" t="inlineStr">
        <is>
          <t>集团</t>
        </is>
      </c>
      <c r="D80" s="38" t="n">
        <v>2023</v>
      </c>
      <c r="E80" s="5" t="inlineStr">
        <is>
          <t>固定资产</t>
        </is>
      </c>
      <c r="F80" s="8" t="n">
        <v>68000</v>
      </c>
    </row>
    <row r="81">
      <c r="A81" s="5" t="inlineStr">
        <is>
          <t>智擎研究院</t>
        </is>
      </c>
      <c r="B81" s="5" t="inlineStr">
        <is>
          <t>集团</t>
        </is>
      </c>
      <c r="C81" s="5" t="inlineStr">
        <is>
          <t>集团</t>
        </is>
      </c>
      <c r="D81" s="38" t="n">
        <v>2023</v>
      </c>
      <c r="E81" s="5" t="inlineStr">
        <is>
          <t>营业收入</t>
        </is>
      </c>
      <c r="F81" s="8" t="n">
        <v>3678.7</v>
      </c>
    </row>
    <row r="82">
      <c r="A82" s="5" t="inlineStr">
        <is>
          <t>智擎研究院</t>
        </is>
      </c>
      <c r="B82" s="5" t="inlineStr">
        <is>
          <t>集团</t>
        </is>
      </c>
      <c r="C82" s="5" t="inlineStr">
        <is>
          <t>集团</t>
        </is>
      </c>
      <c r="D82" s="38" t="n">
        <v>2023</v>
      </c>
      <c r="E82" s="5" t="inlineStr">
        <is>
          <t>毛利</t>
        </is>
      </c>
      <c r="F82" s="8" t="n">
        <v>3678.7</v>
      </c>
    </row>
    <row r="83">
      <c r="A83" s="5" t="inlineStr">
        <is>
          <t>智擎研究院</t>
        </is>
      </c>
      <c r="B83" s="5" t="inlineStr">
        <is>
          <t>集团</t>
        </is>
      </c>
      <c r="C83" s="5" t="inlineStr">
        <is>
          <t>集团</t>
        </is>
      </c>
      <c r="D83" s="38" t="n">
        <v>2023</v>
      </c>
      <c r="E83" s="5" t="inlineStr">
        <is>
          <t>EBITDA</t>
        </is>
      </c>
      <c r="F83" s="8" t="n">
        <v>-22646.3</v>
      </c>
    </row>
    <row r="84">
      <c r="A84" s="5" t="inlineStr">
        <is>
          <t>智擎云</t>
        </is>
      </c>
      <c r="B84" s="5" t="inlineStr">
        <is>
          <t>集团</t>
        </is>
      </c>
      <c r="C84" s="5" t="inlineStr">
        <is>
          <t>集团</t>
        </is>
      </c>
      <c r="D84" s="38" t="n">
        <v>2023</v>
      </c>
      <c r="E84" s="5" t="inlineStr">
        <is>
          <t>净利润</t>
        </is>
      </c>
      <c r="F84" s="8" t="n">
        <v>-10616.06</v>
      </c>
    </row>
    <row r="85">
      <c r="A85" s="5" t="inlineStr">
        <is>
          <t>智擎云</t>
        </is>
      </c>
      <c r="B85" s="5" t="inlineStr">
        <is>
          <t>集团</t>
        </is>
      </c>
      <c r="C85" s="5" t="inlineStr">
        <is>
          <t>集团</t>
        </is>
      </c>
      <c r="D85" s="38" t="n">
        <v>2023</v>
      </c>
      <c r="E85" s="5" t="inlineStr">
        <is>
          <t>现金</t>
        </is>
      </c>
      <c r="F85" s="8" t="n">
        <v>1012.50226</v>
      </c>
    </row>
    <row r="86">
      <c r="A86" s="5" t="inlineStr">
        <is>
          <t>智擎云</t>
        </is>
      </c>
      <c r="B86" s="5" t="inlineStr">
        <is>
          <t>集团</t>
        </is>
      </c>
      <c r="C86" s="5" t="inlineStr">
        <is>
          <t>集团</t>
        </is>
      </c>
      <c r="D86" s="38" t="n">
        <v>2023</v>
      </c>
      <c r="E86" s="5" t="inlineStr">
        <is>
          <t>固定资产</t>
        </is>
      </c>
      <c r="F86" s="8" t="n">
        <v>28000</v>
      </c>
    </row>
    <row r="87">
      <c r="A87" s="5" t="inlineStr">
        <is>
          <t>智擎云</t>
        </is>
      </c>
      <c r="B87" s="5" t="inlineStr">
        <is>
          <t>集团</t>
        </is>
      </c>
      <c r="C87" s="5" t="inlineStr">
        <is>
          <t>集团</t>
        </is>
      </c>
      <c r="D87" s="38" t="n">
        <v>2023</v>
      </c>
      <c r="E87" s="5" t="inlineStr">
        <is>
          <t>营业收入</t>
        </is>
      </c>
      <c r="F87" s="8" t="n">
        <v>7181.7</v>
      </c>
    </row>
    <row r="88">
      <c r="A88" s="5" t="inlineStr">
        <is>
          <t>智擎云</t>
        </is>
      </c>
      <c r="B88" s="5" t="inlineStr">
        <is>
          <t>集团</t>
        </is>
      </c>
      <c r="C88" s="5" t="inlineStr">
        <is>
          <t>集团</t>
        </is>
      </c>
      <c r="D88" s="38" t="n">
        <v>2023</v>
      </c>
      <c r="E88" s="5" t="inlineStr">
        <is>
          <t>毛利</t>
        </is>
      </c>
      <c r="F88" s="8" t="n">
        <v>2783.94</v>
      </c>
    </row>
    <row r="89">
      <c r="A89" s="5" t="inlineStr">
        <is>
          <t>智擎云</t>
        </is>
      </c>
      <c r="B89" s="5" t="inlineStr">
        <is>
          <t>集团</t>
        </is>
      </c>
      <c r="C89" s="5" t="inlineStr">
        <is>
          <t>集团</t>
        </is>
      </c>
      <c r="D89" s="38" t="n">
        <v>2023</v>
      </c>
      <c r="E89" s="5" t="inlineStr">
        <is>
          <t>EBITDA</t>
        </is>
      </c>
      <c r="F89" s="8" t="n">
        <v>-3616.06</v>
      </c>
    </row>
    <row r="90">
      <c r="A90" s="5" t="inlineStr">
        <is>
          <t>智擎行业</t>
        </is>
      </c>
      <c r="B90" s="5" t="inlineStr">
        <is>
          <t>集团</t>
        </is>
      </c>
      <c r="C90" s="5" t="inlineStr">
        <is>
          <t>集团</t>
        </is>
      </c>
      <c r="D90" s="38" t="n">
        <v>2023</v>
      </c>
      <c r="E90" s="5" t="inlineStr">
        <is>
          <t>净利润</t>
        </is>
      </c>
      <c r="F90" s="8" t="n">
        <v>-3745</v>
      </c>
    </row>
    <row r="91">
      <c r="A91" s="5" t="inlineStr">
        <is>
          <t>智擎行业</t>
        </is>
      </c>
      <c r="B91" s="5" t="inlineStr">
        <is>
          <t>集团</t>
        </is>
      </c>
      <c r="C91" s="5" t="inlineStr">
        <is>
          <t>集团</t>
        </is>
      </c>
      <c r="D91" s="38" t="n">
        <v>2023</v>
      </c>
      <c r="E91" s="5" t="inlineStr">
        <is>
          <t>现金</t>
        </is>
      </c>
      <c r="F91" s="8" t="n">
        <v>21524.383562</v>
      </c>
    </row>
    <row r="92">
      <c r="A92" s="5" t="inlineStr">
        <is>
          <t>智擎行业</t>
        </is>
      </c>
      <c r="B92" s="5" t="inlineStr">
        <is>
          <t>集团</t>
        </is>
      </c>
      <c r="C92" s="5" t="inlineStr">
        <is>
          <t>集团</t>
        </is>
      </c>
      <c r="D92" s="38" t="n">
        <v>2023</v>
      </c>
      <c r="E92" s="5" t="inlineStr">
        <is>
          <t>固定资产</t>
        </is>
      </c>
      <c r="F92" s="8" t="n">
        <v>0</v>
      </c>
    </row>
    <row r="93">
      <c r="A93" s="5" t="inlineStr">
        <is>
          <t>智擎行业</t>
        </is>
      </c>
      <c r="B93" s="5" t="inlineStr">
        <is>
          <t>集团</t>
        </is>
      </c>
      <c r="C93" s="5" t="inlineStr">
        <is>
          <t>集团</t>
        </is>
      </c>
      <c r="D93" s="38" t="n">
        <v>2023</v>
      </c>
      <c r="E93" s="5" t="inlineStr">
        <is>
          <t>营业收入</t>
        </is>
      </c>
      <c r="F93" s="8" t="n">
        <v>9200</v>
      </c>
    </row>
    <row r="94">
      <c r="A94" s="5" t="inlineStr">
        <is>
          <t>智擎行业</t>
        </is>
      </c>
      <c r="B94" s="5" t="inlineStr">
        <is>
          <t>集团</t>
        </is>
      </c>
      <c r="C94" s="5" t="inlineStr">
        <is>
          <t>集团</t>
        </is>
      </c>
      <c r="D94" s="38" t="n">
        <v>2023</v>
      </c>
      <c r="E94" s="5" t="inlineStr">
        <is>
          <t>毛利</t>
        </is>
      </c>
      <c r="F94" s="8" t="n">
        <v>1080</v>
      </c>
    </row>
    <row r="95">
      <c r="A95" s="5" t="inlineStr">
        <is>
          <t>智擎行业</t>
        </is>
      </c>
      <c r="B95" s="5" t="inlineStr">
        <is>
          <t>集团</t>
        </is>
      </c>
      <c r="C95" s="5" t="inlineStr">
        <is>
          <t>集团</t>
        </is>
      </c>
      <c r="D95" s="38" t="n">
        <v>2023</v>
      </c>
      <c r="E95" s="5" t="inlineStr">
        <is>
          <t>EBITDA</t>
        </is>
      </c>
      <c r="F95" s="8" t="n">
        <v>-3745</v>
      </c>
    </row>
    <row r="96">
      <c r="A96" s="5" t="inlineStr">
        <is>
          <t>智擎互联</t>
        </is>
      </c>
      <c r="B96" s="5" t="inlineStr">
        <is>
          <t>集团</t>
        </is>
      </c>
      <c r="C96" s="5" t="inlineStr">
        <is>
          <t>集团</t>
        </is>
      </c>
      <c r="D96" s="38" t="n">
        <v>2023</v>
      </c>
      <c r="E96" s="5" t="inlineStr">
        <is>
          <t>净利润</t>
        </is>
      </c>
      <c r="F96" s="8" t="n">
        <v>-9976</v>
      </c>
    </row>
    <row r="97">
      <c r="A97" s="5" t="inlineStr">
        <is>
          <t>智擎互联</t>
        </is>
      </c>
      <c r="B97" s="5" t="inlineStr">
        <is>
          <t>集团</t>
        </is>
      </c>
      <c r="C97" s="5" t="inlineStr">
        <is>
          <t>集团</t>
        </is>
      </c>
      <c r="D97" s="38" t="n">
        <v>2023</v>
      </c>
      <c r="E97" s="5" t="inlineStr">
        <is>
          <t>现金</t>
        </is>
      </c>
      <c r="F97" s="8" t="n">
        <v>6750.224658</v>
      </c>
    </row>
    <row r="98">
      <c r="A98" s="5" t="inlineStr">
        <is>
          <t>智擎互联</t>
        </is>
      </c>
      <c r="B98" s="5" t="inlineStr">
        <is>
          <t>集团</t>
        </is>
      </c>
      <c r="C98" s="5" t="inlineStr">
        <is>
          <t>集团</t>
        </is>
      </c>
      <c r="D98" s="38" t="n">
        <v>2023</v>
      </c>
      <c r="E98" s="5" t="inlineStr">
        <is>
          <t>固定资产</t>
        </is>
      </c>
      <c r="F98" s="8" t="n">
        <v>0</v>
      </c>
    </row>
    <row r="99">
      <c r="A99" s="5" t="inlineStr">
        <is>
          <t>智擎互联</t>
        </is>
      </c>
      <c r="B99" s="5" t="inlineStr">
        <is>
          <t>集团</t>
        </is>
      </c>
      <c r="C99" s="5" t="inlineStr">
        <is>
          <t>集团</t>
        </is>
      </c>
      <c r="D99" s="38" t="n">
        <v>2023</v>
      </c>
      <c r="E99" s="5" t="inlineStr">
        <is>
          <t>营业收入</t>
        </is>
      </c>
      <c r="F99" s="8" t="n">
        <v>2200</v>
      </c>
    </row>
    <row r="100">
      <c r="A100" s="5" t="inlineStr">
        <is>
          <t>智擎互联</t>
        </is>
      </c>
      <c r="B100" s="5" t="inlineStr">
        <is>
          <t>集团</t>
        </is>
      </c>
      <c r="C100" s="5" t="inlineStr">
        <is>
          <t>集团</t>
        </is>
      </c>
      <c r="D100" s="38" t="n">
        <v>2023</v>
      </c>
      <c r="E100" s="5" t="inlineStr">
        <is>
          <t>毛利</t>
        </is>
      </c>
      <c r="F100" s="8" t="n">
        <v>324</v>
      </c>
    </row>
    <row r="101">
      <c r="A101" s="5" t="inlineStr">
        <is>
          <t>智擎互联</t>
        </is>
      </c>
      <c r="B101" s="5" t="inlineStr">
        <is>
          <t>集团</t>
        </is>
      </c>
      <c r="C101" s="5" t="inlineStr">
        <is>
          <t>集团</t>
        </is>
      </c>
      <c r="D101" s="38" t="n">
        <v>2023</v>
      </c>
      <c r="E101" s="5" t="inlineStr">
        <is>
          <t>EBITDA</t>
        </is>
      </c>
      <c r="F101" s="8" t="n">
        <v>-9976</v>
      </c>
    </row>
    <row r="102">
      <c r="A102" s="5" t="inlineStr">
        <is>
          <t>合并</t>
        </is>
      </c>
      <c r="B102" s="5" t="inlineStr">
        <is>
          <t>集团</t>
        </is>
      </c>
      <c r="C102" s="5" t="inlineStr">
        <is>
          <t>集团</t>
        </is>
      </c>
      <c r="D102" s="38" t="n">
        <v>2023</v>
      </c>
      <c r="E102" s="5" t="inlineStr">
        <is>
          <t>净利润</t>
        </is>
      </c>
      <c r="F102" s="8" t="n">
        <v>-63983.36</v>
      </c>
    </row>
    <row r="103">
      <c r="A103" s="5" t="inlineStr">
        <is>
          <t>合并</t>
        </is>
      </c>
      <c r="B103" s="5" t="inlineStr">
        <is>
          <t>集团</t>
        </is>
      </c>
      <c r="C103" s="5" t="inlineStr">
        <is>
          <t>集团</t>
        </is>
      </c>
      <c r="D103" s="38" t="n">
        <v>2023</v>
      </c>
      <c r="E103" s="5" t="inlineStr">
        <is>
          <t>现金</t>
        </is>
      </c>
      <c r="F103" s="8" t="n">
        <v>30881.640617</v>
      </c>
    </row>
    <row r="104">
      <c r="A104" s="5" t="inlineStr">
        <is>
          <t>合并</t>
        </is>
      </c>
      <c r="B104" s="5" t="inlineStr">
        <is>
          <t>集团</t>
        </is>
      </c>
      <c r="C104" s="5" t="inlineStr">
        <is>
          <t>集团</t>
        </is>
      </c>
      <c r="D104" s="38" t="n">
        <v>2023</v>
      </c>
      <c r="E104" s="5" t="inlineStr">
        <is>
          <t>固定资产</t>
        </is>
      </c>
      <c r="F104" s="8" t="n">
        <v>96000</v>
      </c>
    </row>
    <row r="105">
      <c r="A105" s="5" t="inlineStr">
        <is>
          <t>合并</t>
        </is>
      </c>
      <c r="B105" s="5" t="inlineStr">
        <is>
          <t>集团</t>
        </is>
      </c>
      <c r="C105" s="5" t="inlineStr">
        <is>
          <t>集团</t>
        </is>
      </c>
      <c r="D105" s="38" t="n">
        <v>2023</v>
      </c>
      <c r="E105" s="5" t="inlineStr">
        <is>
          <t>营业收入</t>
        </is>
      </c>
      <c r="F105" s="8" t="n">
        <v>17422.5</v>
      </c>
    </row>
    <row r="106">
      <c r="A106" s="5" t="inlineStr">
        <is>
          <t>合并</t>
        </is>
      </c>
      <c r="B106" s="5" t="inlineStr">
        <is>
          <t>集团</t>
        </is>
      </c>
      <c r="C106" s="5" t="inlineStr">
        <is>
          <t>集团</t>
        </is>
      </c>
      <c r="D106" s="38" t="n">
        <v>2023</v>
      </c>
      <c r="E106" s="5" t="inlineStr">
        <is>
          <t>毛利</t>
        </is>
      </c>
      <c r="F106" s="8" t="n">
        <v>7866.64</v>
      </c>
    </row>
    <row r="107">
      <c r="A107" s="5" t="inlineStr">
        <is>
          <t>合并</t>
        </is>
      </c>
      <c r="B107" s="5" t="inlineStr">
        <is>
          <t>集团</t>
        </is>
      </c>
      <c r="C107" s="5" t="inlineStr">
        <is>
          <t>集团</t>
        </is>
      </c>
      <c r="D107" s="38" t="n">
        <v>2023</v>
      </c>
      <c r="E107" s="5" t="inlineStr">
        <is>
          <t>EBITDA</t>
        </is>
      </c>
      <c r="F107" s="8" t="n">
        <v>-39983.36</v>
      </c>
    </row>
    <row r="108">
      <c r="A108" s="5" t="inlineStr">
        <is>
          <t>合并</t>
        </is>
      </c>
      <c r="B108" s="5" t="inlineStr">
        <is>
          <t>MaaS API</t>
        </is>
      </c>
      <c r="C108" s="5" t="inlineStr">
        <is>
          <t>华东</t>
        </is>
      </c>
      <c r="D108" s="38" t="n">
        <v>2024</v>
      </c>
      <c r="E108" s="5" t="inlineStr">
        <is>
          <t>收入</t>
        </is>
      </c>
      <c r="F108" s="8" t="n">
        <v>11680</v>
      </c>
    </row>
    <row r="109">
      <c r="A109" s="5" t="inlineStr">
        <is>
          <t>智擎云</t>
        </is>
      </c>
      <c r="B109" s="5" t="inlineStr">
        <is>
          <t>MaaS API</t>
        </is>
      </c>
      <c r="C109" s="5" t="inlineStr">
        <is>
          <t>华东</t>
        </is>
      </c>
      <c r="D109" s="38" t="n">
        <v>2024</v>
      </c>
      <c r="E109" s="5" t="inlineStr">
        <is>
          <t>收入</t>
        </is>
      </c>
      <c r="F109" s="8" t="n">
        <v>11680</v>
      </c>
    </row>
    <row r="110">
      <c r="A110" s="5" t="inlineStr">
        <is>
          <t>合并</t>
        </is>
      </c>
      <c r="B110" s="5" t="inlineStr">
        <is>
          <t>MaaS API</t>
        </is>
      </c>
      <c r="C110" s="5" t="inlineStr">
        <is>
          <t>华北</t>
        </is>
      </c>
      <c r="D110" s="38" t="n">
        <v>2024</v>
      </c>
      <c r="E110" s="5" t="inlineStr">
        <is>
          <t>收入</t>
        </is>
      </c>
      <c r="F110" s="8" t="n">
        <v>10950</v>
      </c>
    </row>
    <row r="111">
      <c r="A111" s="5" t="inlineStr">
        <is>
          <t>智擎云</t>
        </is>
      </c>
      <c r="B111" s="5" t="inlineStr">
        <is>
          <t>MaaS API</t>
        </is>
      </c>
      <c r="C111" s="5" t="inlineStr">
        <is>
          <t>华北</t>
        </is>
      </c>
      <c r="D111" s="38" t="n">
        <v>2024</v>
      </c>
      <c r="E111" s="5" t="inlineStr">
        <is>
          <t>收入</t>
        </is>
      </c>
      <c r="F111" s="8" t="n">
        <v>10950</v>
      </c>
    </row>
    <row r="112">
      <c r="A112" s="5" t="inlineStr">
        <is>
          <t>合并</t>
        </is>
      </c>
      <c r="B112" s="5" t="inlineStr">
        <is>
          <t>MaaS API</t>
        </is>
      </c>
      <c r="C112" s="5" t="inlineStr">
        <is>
          <t>华南</t>
        </is>
      </c>
      <c r="D112" s="38" t="n">
        <v>2024</v>
      </c>
      <c r="E112" s="5" t="inlineStr">
        <is>
          <t>收入</t>
        </is>
      </c>
      <c r="F112" s="8" t="n">
        <v>7300</v>
      </c>
    </row>
    <row r="113">
      <c r="A113" s="5" t="inlineStr">
        <is>
          <t>智擎云</t>
        </is>
      </c>
      <c r="B113" s="5" t="inlineStr">
        <is>
          <t>MaaS API</t>
        </is>
      </c>
      <c r="C113" s="5" t="inlineStr">
        <is>
          <t>华南</t>
        </is>
      </c>
      <c r="D113" s="38" t="n">
        <v>2024</v>
      </c>
      <c r="E113" s="5" t="inlineStr">
        <is>
          <t>收入</t>
        </is>
      </c>
      <c r="F113" s="8" t="n">
        <v>7300</v>
      </c>
    </row>
    <row r="114">
      <c r="A114" s="5" t="inlineStr">
        <is>
          <t>合并</t>
        </is>
      </c>
      <c r="B114" s="5" t="inlineStr">
        <is>
          <t>MaaS API</t>
        </is>
      </c>
      <c r="C114" s="5" t="inlineStr">
        <is>
          <t>海外</t>
        </is>
      </c>
      <c r="D114" s="38" t="n">
        <v>2024</v>
      </c>
      <c r="E114" s="5" t="inlineStr">
        <is>
          <t>收入</t>
        </is>
      </c>
      <c r="F114" s="8" t="n">
        <v>6570</v>
      </c>
    </row>
    <row r="115">
      <c r="A115" s="5" t="inlineStr">
        <is>
          <t>智擎云</t>
        </is>
      </c>
      <c r="B115" s="5" t="inlineStr">
        <is>
          <t>MaaS API</t>
        </is>
      </c>
      <c r="C115" s="5" t="inlineStr">
        <is>
          <t>海外</t>
        </is>
      </c>
      <c r="D115" s="38" t="n">
        <v>2024</v>
      </c>
      <c r="E115" s="5" t="inlineStr">
        <is>
          <t>收入</t>
        </is>
      </c>
      <c r="F115" s="8" t="n">
        <v>6570</v>
      </c>
    </row>
    <row r="116">
      <c r="A116" s="5" t="inlineStr">
        <is>
          <t>合并</t>
        </is>
      </c>
      <c r="B116" s="5" t="inlineStr">
        <is>
          <t>私有化部署</t>
        </is>
      </c>
      <c r="C116" s="5" t="inlineStr">
        <is>
          <t>华东</t>
        </is>
      </c>
      <c r="D116" s="38" t="n">
        <v>2024</v>
      </c>
      <c r="E116" s="5" t="inlineStr">
        <is>
          <t>收入</t>
        </is>
      </c>
      <c r="F116" s="8" t="n">
        <v>4928</v>
      </c>
    </row>
    <row r="117">
      <c r="A117" s="5" t="inlineStr">
        <is>
          <t>智擎行业</t>
        </is>
      </c>
      <c r="B117" s="5" t="inlineStr">
        <is>
          <t>私有化部署</t>
        </is>
      </c>
      <c r="C117" s="5" t="inlineStr">
        <is>
          <t>华东</t>
        </is>
      </c>
      <c r="D117" s="38" t="n">
        <v>2024</v>
      </c>
      <c r="E117" s="5" t="inlineStr">
        <is>
          <t>收入</t>
        </is>
      </c>
      <c r="F117" s="8" t="n">
        <v>4928</v>
      </c>
    </row>
    <row r="118">
      <c r="A118" s="5" t="inlineStr">
        <is>
          <t>合并</t>
        </is>
      </c>
      <c r="B118" s="5" t="inlineStr">
        <is>
          <t>私有化部署</t>
        </is>
      </c>
      <c r="C118" s="5" t="inlineStr">
        <is>
          <t>华北</t>
        </is>
      </c>
      <c r="D118" s="38" t="n">
        <v>2024</v>
      </c>
      <c r="E118" s="5" t="inlineStr">
        <is>
          <t>收入</t>
        </is>
      </c>
      <c r="F118" s="8" t="n">
        <v>4620</v>
      </c>
    </row>
    <row r="119">
      <c r="A119" s="5" t="inlineStr">
        <is>
          <t>智擎行业</t>
        </is>
      </c>
      <c r="B119" s="5" t="inlineStr">
        <is>
          <t>私有化部署</t>
        </is>
      </c>
      <c r="C119" s="5" t="inlineStr">
        <is>
          <t>华北</t>
        </is>
      </c>
      <c r="D119" s="38" t="n">
        <v>2024</v>
      </c>
      <c r="E119" s="5" t="inlineStr">
        <is>
          <t>收入</t>
        </is>
      </c>
      <c r="F119" s="8" t="n">
        <v>4620</v>
      </c>
    </row>
    <row r="120">
      <c r="A120" s="5" t="inlineStr">
        <is>
          <t>合并</t>
        </is>
      </c>
      <c r="B120" s="5" t="inlineStr">
        <is>
          <t>私有化部署</t>
        </is>
      </c>
      <c r="C120" s="5" t="inlineStr">
        <is>
          <t>华南</t>
        </is>
      </c>
      <c r="D120" s="38" t="n">
        <v>2024</v>
      </c>
      <c r="E120" s="5" t="inlineStr">
        <is>
          <t>收入</t>
        </is>
      </c>
      <c r="F120" s="8" t="n">
        <v>3080</v>
      </c>
    </row>
    <row r="121">
      <c r="A121" s="5" t="inlineStr">
        <is>
          <t>智擎行业</t>
        </is>
      </c>
      <c r="B121" s="5" t="inlineStr">
        <is>
          <t>私有化部署</t>
        </is>
      </c>
      <c r="C121" s="5" t="inlineStr">
        <is>
          <t>华南</t>
        </is>
      </c>
      <c r="D121" s="38" t="n">
        <v>2024</v>
      </c>
      <c r="E121" s="5" t="inlineStr">
        <is>
          <t>收入</t>
        </is>
      </c>
      <c r="F121" s="8" t="n">
        <v>3080</v>
      </c>
    </row>
    <row r="122">
      <c r="A122" s="5" t="inlineStr">
        <is>
          <t>合并</t>
        </is>
      </c>
      <c r="B122" s="5" t="inlineStr">
        <is>
          <t>私有化部署</t>
        </is>
      </c>
      <c r="C122" s="5" t="inlineStr">
        <is>
          <t>海外</t>
        </is>
      </c>
      <c r="D122" s="38" t="n">
        <v>2024</v>
      </c>
      <c r="E122" s="5" t="inlineStr">
        <is>
          <t>收入</t>
        </is>
      </c>
      <c r="F122" s="8" t="n">
        <v>2772</v>
      </c>
    </row>
    <row r="123">
      <c r="A123" s="5" t="inlineStr">
        <is>
          <t>智擎行业</t>
        </is>
      </c>
      <c r="B123" s="5" t="inlineStr">
        <is>
          <t>私有化部署</t>
        </is>
      </c>
      <c r="C123" s="5" t="inlineStr">
        <is>
          <t>海外</t>
        </is>
      </c>
      <c r="D123" s="38" t="n">
        <v>2024</v>
      </c>
      <c r="E123" s="5" t="inlineStr">
        <is>
          <t>收入</t>
        </is>
      </c>
      <c r="F123" s="8" t="n">
        <v>2772</v>
      </c>
    </row>
    <row r="124">
      <c r="A124" s="5" t="inlineStr">
        <is>
          <t>合并</t>
        </is>
      </c>
      <c r="B124" s="5" t="inlineStr">
        <is>
          <t>行业解决方案</t>
        </is>
      </c>
      <c r="C124" s="5" t="inlineStr">
        <is>
          <t>华东</t>
        </is>
      </c>
      <c r="D124" s="38" t="n">
        <v>2024</v>
      </c>
      <c r="E124" s="5" t="inlineStr">
        <is>
          <t>收入</t>
        </is>
      </c>
      <c r="F124" s="8" t="n">
        <v>960</v>
      </c>
    </row>
    <row r="125">
      <c r="A125" s="5" t="inlineStr">
        <is>
          <t>智擎行业</t>
        </is>
      </c>
      <c r="B125" s="5" t="inlineStr">
        <is>
          <t>行业解决方案</t>
        </is>
      </c>
      <c r="C125" s="5" t="inlineStr">
        <is>
          <t>华东</t>
        </is>
      </c>
      <c r="D125" s="38" t="n">
        <v>2024</v>
      </c>
      <c r="E125" s="5" t="inlineStr">
        <is>
          <t>收入</t>
        </is>
      </c>
      <c r="F125" s="8" t="n">
        <v>960</v>
      </c>
    </row>
    <row r="126">
      <c r="A126" s="5" t="inlineStr">
        <is>
          <t>合并</t>
        </is>
      </c>
      <c r="B126" s="5" t="inlineStr">
        <is>
          <t>行业解决方案</t>
        </is>
      </c>
      <c r="C126" s="5" t="inlineStr">
        <is>
          <t>华北</t>
        </is>
      </c>
      <c r="D126" s="38" t="n">
        <v>2024</v>
      </c>
      <c r="E126" s="5" t="inlineStr">
        <is>
          <t>收入</t>
        </is>
      </c>
      <c r="F126" s="8" t="n">
        <v>900</v>
      </c>
    </row>
    <row r="127">
      <c r="A127" s="5" t="inlineStr">
        <is>
          <t>智擎行业</t>
        </is>
      </c>
      <c r="B127" s="5" t="inlineStr">
        <is>
          <t>行业解决方案</t>
        </is>
      </c>
      <c r="C127" s="5" t="inlineStr">
        <is>
          <t>华北</t>
        </is>
      </c>
      <c r="D127" s="38" t="n">
        <v>2024</v>
      </c>
      <c r="E127" s="5" t="inlineStr">
        <is>
          <t>收入</t>
        </is>
      </c>
      <c r="F127" s="8" t="n">
        <v>900</v>
      </c>
    </row>
    <row r="128">
      <c r="A128" s="5" t="inlineStr">
        <is>
          <t>合并</t>
        </is>
      </c>
      <c r="B128" s="5" t="inlineStr">
        <is>
          <t>行业解决方案</t>
        </is>
      </c>
      <c r="C128" s="5" t="inlineStr">
        <is>
          <t>华南</t>
        </is>
      </c>
      <c r="D128" s="38" t="n">
        <v>2024</v>
      </c>
      <c r="E128" s="5" t="inlineStr">
        <is>
          <t>收入</t>
        </is>
      </c>
      <c r="F128" s="8" t="n">
        <v>600</v>
      </c>
    </row>
    <row r="129">
      <c r="A129" s="5" t="inlineStr">
        <is>
          <t>智擎行业</t>
        </is>
      </c>
      <c r="B129" s="5" t="inlineStr">
        <is>
          <t>行业解决方案</t>
        </is>
      </c>
      <c r="C129" s="5" t="inlineStr">
        <is>
          <t>华南</t>
        </is>
      </c>
      <c r="D129" s="38" t="n">
        <v>2024</v>
      </c>
      <c r="E129" s="5" t="inlineStr">
        <is>
          <t>收入</t>
        </is>
      </c>
      <c r="F129" s="8" t="n">
        <v>600</v>
      </c>
    </row>
    <row r="130">
      <c r="A130" s="5" t="inlineStr">
        <is>
          <t>合并</t>
        </is>
      </c>
      <c r="B130" s="5" t="inlineStr">
        <is>
          <t>行业解决方案</t>
        </is>
      </c>
      <c r="C130" s="5" t="inlineStr">
        <is>
          <t>海外</t>
        </is>
      </c>
      <c r="D130" s="38" t="n">
        <v>2024</v>
      </c>
      <c r="E130" s="5" t="inlineStr">
        <is>
          <t>收入</t>
        </is>
      </c>
      <c r="F130" s="8" t="n">
        <v>540</v>
      </c>
    </row>
    <row r="131">
      <c r="A131" s="5" t="inlineStr">
        <is>
          <t>智擎行业</t>
        </is>
      </c>
      <c r="B131" s="5" t="inlineStr">
        <is>
          <t>行业解决方案</t>
        </is>
      </c>
      <c r="C131" s="5" t="inlineStr">
        <is>
          <t>海外</t>
        </is>
      </c>
      <c r="D131" s="38" t="n">
        <v>2024</v>
      </c>
      <c r="E131" s="5" t="inlineStr">
        <is>
          <t>收入</t>
        </is>
      </c>
      <c r="F131" s="8" t="n">
        <v>540</v>
      </c>
    </row>
    <row r="132">
      <c r="A132" s="5" t="inlineStr">
        <is>
          <t>合并</t>
        </is>
      </c>
      <c r="B132" s="5" t="inlineStr">
        <is>
          <t>C端订阅</t>
        </is>
      </c>
      <c r="C132" s="5" t="inlineStr">
        <is>
          <t>华东</t>
        </is>
      </c>
      <c r="D132" s="38" t="n">
        <v>2024</v>
      </c>
      <c r="E132" s="5" t="inlineStr">
        <is>
          <t>收入</t>
        </is>
      </c>
      <c r="F132" s="8" t="n">
        <v>1655.808</v>
      </c>
    </row>
    <row r="133">
      <c r="A133" s="5" t="inlineStr">
        <is>
          <t>智擎互联</t>
        </is>
      </c>
      <c r="B133" s="5" t="inlineStr">
        <is>
          <t>C端订阅</t>
        </is>
      </c>
      <c r="C133" s="5" t="inlineStr">
        <is>
          <t>华东</t>
        </is>
      </c>
      <c r="D133" s="38" t="n">
        <v>2024</v>
      </c>
      <c r="E133" s="5" t="inlineStr">
        <is>
          <t>收入</t>
        </is>
      </c>
      <c r="F133" s="8" t="n">
        <v>1655.808</v>
      </c>
    </row>
    <row r="134">
      <c r="A134" s="5" t="inlineStr">
        <is>
          <t>合并</t>
        </is>
      </c>
      <c r="B134" s="5" t="inlineStr">
        <is>
          <t>C端订阅</t>
        </is>
      </c>
      <c r="C134" s="5" t="inlineStr">
        <is>
          <t>华北</t>
        </is>
      </c>
      <c r="D134" s="38" t="n">
        <v>2024</v>
      </c>
      <c r="E134" s="5" t="inlineStr">
        <is>
          <t>收入</t>
        </is>
      </c>
      <c r="F134" s="8" t="n">
        <v>1552.32</v>
      </c>
    </row>
    <row r="135">
      <c r="A135" s="5" t="inlineStr">
        <is>
          <t>智擎互联</t>
        </is>
      </c>
      <c r="B135" s="5" t="inlineStr">
        <is>
          <t>C端订阅</t>
        </is>
      </c>
      <c r="C135" s="5" t="inlineStr">
        <is>
          <t>华北</t>
        </is>
      </c>
      <c r="D135" s="38" t="n">
        <v>2024</v>
      </c>
      <c r="E135" s="5" t="inlineStr">
        <is>
          <t>收入</t>
        </is>
      </c>
      <c r="F135" s="8" t="n">
        <v>1552.32</v>
      </c>
    </row>
    <row r="136">
      <c r="A136" s="5" t="inlineStr">
        <is>
          <t>合并</t>
        </is>
      </c>
      <c r="B136" s="5" t="inlineStr">
        <is>
          <t>C端订阅</t>
        </is>
      </c>
      <c r="C136" s="5" t="inlineStr">
        <is>
          <t>华南</t>
        </is>
      </c>
      <c r="D136" s="38" t="n">
        <v>2024</v>
      </c>
      <c r="E136" s="5" t="inlineStr">
        <is>
          <t>收入</t>
        </is>
      </c>
      <c r="F136" s="8" t="n">
        <v>1034.88</v>
      </c>
    </row>
    <row r="137">
      <c r="A137" s="5" t="inlineStr">
        <is>
          <t>智擎互联</t>
        </is>
      </c>
      <c r="B137" s="5" t="inlineStr">
        <is>
          <t>C端订阅</t>
        </is>
      </c>
      <c r="C137" s="5" t="inlineStr">
        <is>
          <t>华南</t>
        </is>
      </c>
      <c r="D137" s="38" t="n">
        <v>2024</v>
      </c>
      <c r="E137" s="5" t="inlineStr">
        <is>
          <t>收入</t>
        </is>
      </c>
      <c r="F137" s="8" t="n">
        <v>1034.88</v>
      </c>
    </row>
    <row r="138">
      <c r="A138" s="5" t="inlineStr">
        <is>
          <t>合并</t>
        </is>
      </c>
      <c r="B138" s="5" t="inlineStr">
        <is>
          <t>C端订阅</t>
        </is>
      </c>
      <c r="C138" s="5" t="inlineStr">
        <is>
          <t>海外</t>
        </is>
      </c>
      <c r="D138" s="38" t="n">
        <v>2024</v>
      </c>
      <c r="E138" s="5" t="inlineStr">
        <is>
          <t>收入</t>
        </is>
      </c>
      <c r="F138" s="8" t="n">
        <v>931.3920000000001</v>
      </c>
    </row>
    <row r="139">
      <c r="A139" s="5" t="inlineStr">
        <is>
          <t>智擎互联</t>
        </is>
      </c>
      <c r="B139" s="5" t="inlineStr">
        <is>
          <t>C端订阅</t>
        </is>
      </c>
      <c r="C139" s="5" t="inlineStr">
        <is>
          <t>海外</t>
        </is>
      </c>
      <c r="D139" s="38" t="n">
        <v>2024</v>
      </c>
      <c r="E139" s="5" t="inlineStr">
        <is>
          <t>收入</t>
        </is>
      </c>
      <c r="F139" s="8" t="n">
        <v>931.3920000000001</v>
      </c>
    </row>
    <row r="140">
      <c r="A140" s="5" t="inlineStr">
        <is>
          <t>合并</t>
        </is>
      </c>
      <c r="B140" s="5" t="inlineStr">
        <is>
          <t>广告及其他</t>
        </is>
      </c>
      <c r="C140" s="5" t="inlineStr">
        <is>
          <t>华东</t>
        </is>
      </c>
      <c r="D140" s="38" t="n">
        <v>2024</v>
      </c>
      <c r="E140" s="5" t="inlineStr">
        <is>
          <t>收入</t>
        </is>
      </c>
      <c r="F140" s="8" t="n">
        <v>256</v>
      </c>
    </row>
    <row r="141">
      <c r="A141" s="5" t="inlineStr">
        <is>
          <t>智擎互联</t>
        </is>
      </c>
      <c r="B141" s="5" t="inlineStr">
        <is>
          <t>广告及其他</t>
        </is>
      </c>
      <c r="C141" s="5" t="inlineStr">
        <is>
          <t>华东</t>
        </is>
      </c>
      <c r="D141" s="38" t="n">
        <v>2024</v>
      </c>
      <c r="E141" s="5" t="inlineStr">
        <is>
          <t>收入</t>
        </is>
      </c>
      <c r="F141" s="8" t="n">
        <v>256</v>
      </c>
    </row>
    <row r="142">
      <c r="A142" s="5" t="inlineStr">
        <is>
          <t>合并</t>
        </is>
      </c>
      <c r="B142" s="5" t="inlineStr">
        <is>
          <t>广告及其他</t>
        </is>
      </c>
      <c r="C142" s="5" t="inlineStr">
        <is>
          <t>华北</t>
        </is>
      </c>
      <c r="D142" s="38" t="n">
        <v>2024</v>
      </c>
      <c r="E142" s="5" t="inlineStr">
        <is>
          <t>收入</t>
        </is>
      </c>
      <c r="F142" s="8" t="n">
        <v>240</v>
      </c>
    </row>
    <row r="143">
      <c r="A143" s="5" t="inlineStr">
        <is>
          <t>智擎互联</t>
        </is>
      </c>
      <c r="B143" s="5" t="inlineStr">
        <is>
          <t>广告及其他</t>
        </is>
      </c>
      <c r="C143" s="5" t="inlineStr">
        <is>
          <t>华北</t>
        </is>
      </c>
      <c r="D143" s="38" t="n">
        <v>2024</v>
      </c>
      <c r="E143" s="5" t="inlineStr">
        <is>
          <t>收入</t>
        </is>
      </c>
      <c r="F143" s="8" t="n">
        <v>240</v>
      </c>
    </row>
    <row r="144">
      <c r="A144" s="5" t="inlineStr">
        <is>
          <t>合并</t>
        </is>
      </c>
      <c r="B144" s="5" t="inlineStr">
        <is>
          <t>广告及其他</t>
        </is>
      </c>
      <c r="C144" s="5" t="inlineStr">
        <is>
          <t>华南</t>
        </is>
      </c>
      <c r="D144" s="38" t="n">
        <v>2024</v>
      </c>
      <c r="E144" s="5" t="inlineStr">
        <is>
          <t>收入</t>
        </is>
      </c>
      <c r="F144" s="8" t="n">
        <v>160</v>
      </c>
    </row>
    <row r="145">
      <c r="A145" s="5" t="inlineStr">
        <is>
          <t>智擎互联</t>
        </is>
      </c>
      <c r="B145" s="5" t="inlineStr">
        <is>
          <t>广告及其他</t>
        </is>
      </c>
      <c r="C145" s="5" t="inlineStr">
        <is>
          <t>华南</t>
        </is>
      </c>
      <c r="D145" s="38" t="n">
        <v>2024</v>
      </c>
      <c r="E145" s="5" t="inlineStr">
        <is>
          <t>收入</t>
        </is>
      </c>
      <c r="F145" s="8" t="n">
        <v>160</v>
      </c>
    </row>
    <row r="146">
      <c r="A146" s="5" t="inlineStr">
        <is>
          <t>合并</t>
        </is>
      </c>
      <c r="B146" s="5" t="inlineStr">
        <is>
          <t>广告及其他</t>
        </is>
      </c>
      <c r="C146" s="5" t="inlineStr">
        <is>
          <t>海外</t>
        </is>
      </c>
      <c r="D146" s="38" t="n">
        <v>2024</v>
      </c>
      <c r="E146" s="5" t="inlineStr">
        <is>
          <t>收入</t>
        </is>
      </c>
      <c r="F146" s="8" t="n">
        <v>144</v>
      </c>
    </row>
    <row r="147">
      <c r="A147" s="5" t="inlineStr">
        <is>
          <t>智擎互联</t>
        </is>
      </c>
      <c r="B147" s="5" t="inlineStr">
        <is>
          <t>广告及其他</t>
        </is>
      </c>
      <c r="C147" s="5" t="inlineStr">
        <is>
          <t>海外</t>
        </is>
      </c>
      <c r="D147" s="38" t="n">
        <v>2024</v>
      </c>
      <c r="E147" s="5" t="inlineStr">
        <is>
          <t>收入</t>
        </is>
      </c>
      <c r="F147" s="8" t="n">
        <v>144</v>
      </c>
    </row>
    <row r="148">
      <c r="A148" s="5" t="inlineStr">
        <is>
          <t>智擎云</t>
        </is>
      </c>
      <c r="B148" s="5" t="inlineStr">
        <is>
          <t>MaaS API</t>
        </is>
      </c>
      <c r="C148" s="5" t="inlineStr">
        <is>
          <t>集团</t>
        </is>
      </c>
      <c r="D148" s="38" t="n">
        <v>2024</v>
      </c>
      <c r="E148" s="5" t="inlineStr">
        <is>
          <t>成本</t>
        </is>
      </c>
      <c r="F148" s="8" t="n">
        <v>17855</v>
      </c>
    </row>
    <row r="149">
      <c r="A149" s="5" t="inlineStr">
        <is>
          <t>合并</t>
        </is>
      </c>
      <c r="B149" s="5" t="inlineStr">
        <is>
          <t>MaaS API</t>
        </is>
      </c>
      <c r="C149" s="5" t="inlineStr">
        <is>
          <t>集团</t>
        </is>
      </c>
      <c r="D149" s="38" t="n">
        <v>2024</v>
      </c>
      <c r="E149" s="5" t="inlineStr">
        <is>
          <t>成本</t>
        </is>
      </c>
      <c r="F149" s="8" t="n">
        <v>17855</v>
      </c>
    </row>
    <row r="150">
      <c r="A150" s="5" t="inlineStr">
        <is>
          <t>智擎行业</t>
        </is>
      </c>
      <c r="B150" s="5" t="inlineStr">
        <is>
          <t>私有化部署</t>
        </is>
      </c>
      <c r="C150" s="5" t="inlineStr">
        <is>
          <t>集团</t>
        </is>
      </c>
      <c r="D150" s="38" t="n">
        <v>2024</v>
      </c>
      <c r="E150" s="5" t="inlineStr">
        <is>
          <t>成本</t>
        </is>
      </c>
      <c r="F150" s="8" t="n">
        <v>9394</v>
      </c>
    </row>
    <row r="151">
      <c r="A151" s="5" t="inlineStr">
        <is>
          <t>合并</t>
        </is>
      </c>
      <c r="B151" s="5" t="inlineStr">
        <is>
          <t>私有化部署</t>
        </is>
      </c>
      <c r="C151" s="5" t="inlineStr">
        <is>
          <t>集团</t>
        </is>
      </c>
      <c r="D151" s="38" t="n">
        <v>2024</v>
      </c>
      <c r="E151" s="5" t="inlineStr">
        <is>
          <t>成本</t>
        </is>
      </c>
      <c r="F151" s="8" t="n">
        <v>9394</v>
      </c>
    </row>
    <row r="152">
      <c r="A152" s="5" t="inlineStr">
        <is>
          <t>智擎行业</t>
        </is>
      </c>
      <c r="B152" s="5" t="inlineStr">
        <is>
          <t>行业解决方案</t>
        </is>
      </c>
      <c r="C152" s="5" t="inlineStr">
        <is>
          <t>集团</t>
        </is>
      </c>
      <c r="D152" s="38" t="n">
        <v>2024</v>
      </c>
      <c r="E152" s="5" t="inlineStr">
        <is>
          <t>成本</t>
        </is>
      </c>
      <c r="F152" s="8" t="n">
        <v>1260</v>
      </c>
    </row>
    <row r="153">
      <c r="A153" s="5" t="inlineStr">
        <is>
          <t>合并</t>
        </is>
      </c>
      <c r="B153" s="5" t="inlineStr">
        <is>
          <t>行业解决方案</t>
        </is>
      </c>
      <c r="C153" s="5" t="inlineStr">
        <is>
          <t>集团</t>
        </is>
      </c>
      <c r="D153" s="38" t="n">
        <v>2024</v>
      </c>
      <c r="E153" s="5" t="inlineStr">
        <is>
          <t>成本</t>
        </is>
      </c>
      <c r="F153" s="8" t="n">
        <v>1260</v>
      </c>
    </row>
    <row r="154">
      <c r="A154" s="5" t="inlineStr">
        <is>
          <t>智擎互联</t>
        </is>
      </c>
      <c r="B154" s="5" t="inlineStr">
        <is>
          <t>C端订阅</t>
        </is>
      </c>
      <c r="C154" s="5" t="inlineStr">
        <is>
          <t>集团</t>
        </is>
      </c>
      <c r="D154" s="38" t="n">
        <v>2024</v>
      </c>
      <c r="E154" s="5" t="inlineStr">
        <is>
          <t>成本</t>
        </is>
      </c>
      <c r="F154" s="8" t="n">
        <v>3960</v>
      </c>
    </row>
    <row r="155">
      <c r="A155" s="5" t="inlineStr">
        <is>
          <t>合并</t>
        </is>
      </c>
      <c r="B155" s="5" t="inlineStr">
        <is>
          <t>C端订阅</t>
        </is>
      </c>
      <c r="C155" s="5" t="inlineStr">
        <is>
          <t>集团</t>
        </is>
      </c>
      <c r="D155" s="38" t="n">
        <v>2024</v>
      </c>
      <c r="E155" s="5" t="inlineStr">
        <is>
          <t>成本</t>
        </is>
      </c>
      <c r="F155" s="8" t="n">
        <v>3960</v>
      </c>
    </row>
    <row r="156">
      <c r="A156" s="5" t="inlineStr">
        <is>
          <t>智擎互联</t>
        </is>
      </c>
      <c r="B156" s="5" t="inlineStr">
        <is>
          <t>广告及其他</t>
        </is>
      </c>
      <c r="C156" s="5" t="inlineStr">
        <is>
          <t>集团</t>
        </is>
      </c>
      <c r="D156" s="38" t="n">
        <v>2024</v>
      </c>
      <c r="E156" s="5" t="inlineStr">
        <is>
          <t>成本</t>
        </is>
      </c>
      <c r="F156" s="8" t="n">
        <v>0</v>
      </c>
    </row>
    <row r="157">
      <c r="A157" s="5" t="inlineStr">
        <is>
          <t>合并</t>
        </is>
      </c>
      <c r="B157" s="5" t="inlineStr">
        <is>
          <t>广告及其他</t>
        </is>
      </c>
      <c r="C157" s="5" t="inlineStr">
        <is>
          <t>集团</t>
        </is>
      </c>
      <c r="D157" s="38" t="n">
        <v>2024</v>
      </c>
      <c r="E157" s="5" t="inlineStr">
        <is>
          <t>成本</t>
        </is>
      </c>
      <c r="F157" s="8" t="n">
        <v>0</v>
      </c>
    </row>
    <row r="158">
      <c r="A158" s="5" t="inlineStr">
        <is>
          <t>智擎研究院</t>
        </is>
      </c>
      <c r="B158" s="5" t="inlineStr">
        <is>
          <t>集团</t>
        </is>
      </c>
      <c r="C158" s="5" t="inlineStr">
        <is>
          <t>集团</t>
        </is>
      </c>
      <c r="D158" s="38" t="n">
        <v>2024</v>
      </c>
      <c r="E158" s="5" t="inlineStr">
        <is>
          <t>研发费用</t>
        </is>
      </c>
      <c r="F158" s="8" t="n">
        <v>65760</v>
      </c>
    </row>
    <row r="159">
      <c r="A159" s="5" t="inlineStr">
        <is>
          <t>合并</t>
        </is>
      </c>
      <c r="B159" s="5" t="inlineStr">
        <is>
          <t>集团</t>
        </is>
      </c>
      <c r="C159" s="5" t="inlineStr">
        <is>
          <t>集团</t>
        </is>
      </c>
      <c r="D159" s="38" t="n">
        <v>2024</v>
      </c>
      <c r="E159" s="5" t="inlineStr">
        <is>
          <t>研发费用</t>
        </is>
      </c>
      <c r="F159" s="8" t="n">
        <v>94460</v>
      </c>
    </row>
    <row r="160">
      <c r="A160" s="5" t="inlineStr">
        <is>
          <t>智擎研究院</t>
        </is>
      </c>
      <c r="B160" s="5" t="inlineStr">
        <is>
          <t>集团</t>
        </is>
      </c>
      <c r="C160" s="5" t="inlineStr">
        <is>
          <t>集团</t>
        </is>
      </c>
      <c r="D160" s="38" t="n">
        <v>2024</v>
      </c>
      <c r="E160" s="5" t="inlineStr">
        <is>
          <t>销售费用</t>
        </is>
      </c>
      <c r="F160" s="8" t="n">
        <v>0</v>
      </c>
    </row>
    <row r="161">
      <c r="A161" s="5" t="inlineStr">
        <is>
          <t>合并</t>
        </is>
      </c>
      <c r="B161" s="5" t="inlineStr">
        <is>
          <t>集团</t>
        </is>
      </c>
      <c r="C161" s="5" t="inlineStr">
        <is>
          <t>集团</t>
        </is>
      </c>
      <c r="D161" s="38" t="n">
        <v>2024</v>
      </c>
      <c r="E161" s="5" t="inlineStr">
        <is>
          <t>销售费用</t>
        </is>
      </c>
      <c r="F161" s="8" t="n">
        <v>9975</v>
      </c>
    </row>
    <row r="162">
      <c r="A162" s="5" t="inlineStr">
        <is>
          <t>智擎研究院</t>
        </is>
      </c>
      <c r="B162" s="5" t="inlineStr">
        <is>
          <t>集团</t>
        </is>
      </c>
      <c r="C162" s="5" t="inlineStr">
        <is>
          <t>集团</t>
        </is>
      </c>
      <c r="D162" s="38" t="n">
        <v>2024</v>
      </c>
      <c r="E162" s="5" t="inlineStr">
        <is>
          <t>管理费用</t>
        </is>
      </c>
      <c r="F162" s="8" t="n">
        <v>1100</v>
      </c>
    </row>
    <row r="163">
      <c r="A163" s="5" t="inlineStr">
        <is>
          <t>合并</t>
        </is>
      </c>
      <c r="B163" s="5" t="inlineStr">
        <is>
          <t>集团</t>
        </is>
      </c>
      <c r="C163" s="5" t="inlineStr">
        <is>
          <t>集团</t>
        </is>
      </c>
      <c r="D163" s="38" t="n">
        <v>2024</v>
      </c>
      <c r="E163" s="5" t="inlineStr">
        <is>
          <t>管理费用</t>
        </is>
      </c>
      <c r="F163" s="8" t="n">
        <v>4785</v>
      </c>
    </row>
    <row r="164">
      <c r="A164" s="5" t="inlineStr">
        <is>
          <t>智擎云</t>
        </is>
      </c>
      <c r="B164" s="5" t="inlineStr">
        <is>
          <t>集团</t>
        </is>
      </c>
      <c r="C164" s="5" t="inlineStr">
        <is>
          <t>集团</t>
        </is>
      </c>
      <c r="D164" s="38" t="n">
        <v>2024</v>
      </c>
      <c r="E164" s="5" t="inlineStr">
        <is>
          <t>研发费用</t>
        </is>
      </c>
      <c r="F164" s="8" t="n">
        <v>15400</v>
      </c>
    </row>
    <row r="165">
      <c r="A165" s="5" t="inlineStr">
        <is>
          <t>合并</t>
        </is>
      </c>
      <c r="B165" s="5" t="inlineStr">
        <is>
          <t>集团</t>
        </is>
      </c>
      <c r="C165" s="5" t="inlineStr">
        <is>
          <t>集团</t>
        </is>
      </c>
      <c r="D165" s="38" t="n">
        <v>2024</v>
      </c>
      <c r="E165" s="5" t="inlineStr">
        <is>
          <t>研发费用</t>
        </is>
      </c>
      <c r="F165" s="8" t="n">
        <v>94460</v>
      </c>
    </row>
    <row r="166">
      <c r="A166" s="5" t="inlineStr">
        <is>
          <t>智擎云</t>
        </is>
      </c>
      <c r="B166" s="5" t="inlineStr">
        <is>
          <t>集团</t>
        </is>
      </c>
      <c r="C166" s="5" t="inlineStr">
        <is>
          <t>集团</t>
        </is>
      </c>
      <c r="D166" s="38" t="n">
        <v>2024</v>
      </c>
      <c r="E166" s="5" t="inlineStr">
        <is>
          <t>销售费用</t>
        </is>
      </c>
      <c r="F166" s="8" t="n">
        <v>3300</v>
      </c>
    </row>
    <row r="167">
      <c r="A167" s="5" t="inlineStr">
        <is>
          <t>合并</t>
        </is>
      </c>
      <c r="B167" s="5" t="inlineStr">
        <is>
          <t>集团</t>
        </is>
      </c>
      <c r="C167" s="5" t="inlineStr">
        <is>
          <t>集团</t>
        </is>
      </c>
      <c r="D167" s="38" t="n">
        <v>2024</v>
      </c>
      <c r="E167" s="5" t="inlineStr">
        <is>
          <t>销售费用</t>
        </is>
      </c>
      <c r="F167" s="8" t="n">
        <v>9975</v>
      </c>
    </row>
    <row r="168">
      <c r="A168" s="5" t="inlineStr">
        <is>
          <t>智擎云</t>
        </is>
      </c>
      <c r="B168" s="5" t="inlineStr">
        <is>
          <t>集团</t>
        </is>
      </c>
      <c r="C168" s="5" t="inlineStr">
        <is>
          <t>集团</t>
        </is>
      </c>
      <c r="D168" s="38" t="n">
        <v>2024</v>
      </c>
      <c r="E168" s="5" t="inlineStr">
        <is>
          <t>管理费用</t>
        </is>
      </c>
      <c r="F168" s="8" t="n">
        <v>1650</v>
      </c>
    </row>
    <row r="169">
      <c r="A169" s="5" t="inlineStr">
        <is>
          <t>合并</t>
        </is>
      </c>
      <c r="B169" s="5" t="inlineStr">
        <is>
          <t>集团</t>
        </is>
      </c>
      <c r="C169" s="5" t="inlineStr">
        <is>
          <t>集团</t>
        </is>
      </c>
      <c r="D169" s="38" t="n">
        <v>2024</v>
      </c>
      <c r="E169" s="5" t="inlineStr">
        <is>
          <t>管理费用</t>
        </is>
      </c>
      <c r="F169" s="8" t="n">
        <v>4785</v>
      </c>
    </row>
    <row r="170">
      <c r="A170" s="5" t="inlineStr">
        <is>
          <t>智擎行业</t>
        </is>
      </c>
      <c r="B170" s="5" t="inlineStr">
        <is>
          <t>集团</t>
        </is>
      </c>
      <c r="C170" s="5" t="inlineStr">
        <is>
          <t>集团</t>
        </is>
      </c>
      <c r="D170" s="38" t="n">
        <v>2024</v>
      </c>
      <c r="E170" s="5" t="inlineStr">
        <is>
          <t>研发费用</t>
        </is>
      </c>
      <c r="F170" s="8" t="n">
        <v>4900</v>
      </c>
    </row>
    <row r="171">
      <c r="A171" s="5" t="inlineStr">
        <is>
          <t>合并</t>
        </is>
      </c>
      <c r="B171" s="5" t="inlineStr">
        <is>
          <t>集团</t>
        </is>
      </c>
      <c r="C171" s="5" t="inlineStr">
        <is>
          <t>集团</t>
        </is>
      </c>
      <c r="D171" s="38" t="n">
        <v>2024</v>
      </c>
      <c r="E171" s="5" t="inlineStr">
        <is>
          <t>研发费用</t>
        </is>
      </c>
      <c r="F171" s="8" t="n">
        <v>94460</v>
      </c>
    </row>
    <row r="172">
      <c r="A172" s="5" t="inlineStr">
        <is>
          <t>智擎行业</t>
        </is>
      </c>
      <c r="B172" s="5" t="inlineStr">
        <is>
          <t>集团</t>
        </is>
      </c>
      <c r="C172" s="5" t="inlineStr">
        <is>
          <t>集团</t>
        </is>
      </c>
      <c r="D172" s="38" t="n">
        <v>2024</v>
      </c>
      <c r="E172" s="5" t="inlineStr">
        <is>
          <t>销售费用</t>
        </is>
      </c>
      <c r="F172" s="8" t="n">
        <v>2100</v>
      </c>
    </row>
    <row r="173">
      <c r="A173" s="5" t="inlineStr">
        <is>
          <t>合并</t>
        </is>
      </c>
      <c r="B173" s="5" t="inlineStr">
        <is>
          <t>集团</t>
        </is>
      </c>
      <c r="C173" s="5" t="inlineStr">
        <is>
          <t>集团</t>
        </is>
      </c>
      <c r="D173" s="38" t="n">
        <v>2024</v>
      </c>
      <c r="E173" s="5" t="inlineStr">
        <is>
          <t>销售费用</t>
        </is>
      </c>
      <c r="F173" s="8" t="n">
        <v>9975</v>
      </c>
    </row>
    <row r="174">
      <c r="A174" s="5" t="inlineStr">
        <is>
          <t>智擎行业</t>
        </is>
      </c>
      <c r="B174" s="5" t="inlineStr">
        <is>
          <t>集团</t>
        </is>
      </c>
      <c r="C174" s="5" t="inlineStr">
        <is>
          <t>集团</t>
        </is>
      </c>
      <c r="D174" s="38" t="n">
        <v>2024</v>
      </c>
      <c r="E174" s="5" t="inlineStr">
        <is>
          <t>管理费用</t>
        </is>
      </c>
      <c r="F174" s="8" t="n">
        <v>1210</v>
      </c>
    </row>
    <row r="175">
      <c r="A175" s="5" t="inlineStr">
        <is>
          <t>合并</t>
        </is>
      </c>
      <c r="B175" s="5" t="inlineStr">
        <is>
          <t>集团</t>
        </is>
      </c>
      <c r="C175" s="5" t="inlineStr">
        <is>
          <t>集团</t>
        </is>
      </c>
      <c r="D175" s="38" t="n">
        <v>2024</v>
      </c>
      <c r="E175" s="5" t="inlineStr">
        <is>
          <t>管理费用</t>
        </is>
      </c>
      <c r="F175" s="8" t="n">
        <v>4785</v>
      </c>
    </row>
    <row r="176">
      <c r="A176" s="5" t="inlineStr">
        <is>
          <t>智擎互联</t>
        </is>
      </c>
      <c r="B176" s="5" t="inlineStr">
        <is>
          <t>集团</t>
        </is>
      </c>
      <c r="C176" s="5" t="inlineStr">
        <is>
          <t>集团</t>
        </is>
      </c>
      <c r="D176" s="38" t="n">
        <v>2024</v>
      </c>
      <c r="E176" s="5" t="inlineStr">
        <is>
          <t>研发费用</t>
        </is>
      </c>
      <c r="F176" s="8" t="n">
        <v>8400</v>
      </c>
    </row>
    <row r="177">
      <c r="A177" s="5" t="inlineStr">
        <is>
          <t>合并</t>
        </is>
      </c>
      <c r="B177" s="5" t="inlineStr">
        <is>
          <t>集团</t>
        </is>
      </c>
      <c r="C177" s="5" t="inlineStr">
        <is>
          <t>集团</t>
        </is>
      </c>
      <c r="D177" s="38" t="n">
        <v>2024</v>
      </c>
      <c r="E177" s="5" t="inlineStr">
        <is>
          <t>研发费用</t>
        </is>
      </c>
      <c r="F177" s="8" t="n">
        <v>94460</v>
      </c>
    </row>
    <row r="178">
      <c r="A178" s="5" t="inlineStr">
        <is>
          <t>智擎互联</t>
        </is>
      </c>
      <c r="B178" s="5" t="inlineStr">
        <is>
          <t>集团</t>
        </is>
      </c>
      <c r="C178" s="5" t="inlineStr">
        <is>
          <t>集团</t>
        </is>
      </c>
      <c r="D178" s="38" t="n">
        <v>2024</v>
      </c>
      <c r="E178" s="5" t="inlineStr">
        <is>
          <t>销售费用</t>
        </is>
      </c>
      <c r="F178" s="8" t="n">
        <v>4575</v>
      </c>
    </row>
    <row r="179">
      <c r="A179" s="5" t="inlineStr">
        <is>
          <t>合并</t>
        </is>
      </c>
      <c r="B179" s="5" t="inlineStr">
        <is>
          <t>集团</t>
        </is>
      </c>
      <c r="C179" s="5" t="inlineStr">
        <is>
          <t>集团</t>
        </is>
      </c>
      <c r="D179" s="38" t="n">
        <v>2024</v>
      </c>
      <c r="E179" s="5" t="inlineStr">
        <is>
          <t>销售费用</t>
        </is>
      </c>
      <c r="F179" s="8" t="n">
        <v>9975</v>
      </c>
    </row>
    <row r="180">
      <c r="A180" s="5" t="inlineStr">
        <is>
          <t>智擎互联</t>
        </is>
      </c>
      <c r="B180" s="5" t="inlineStr">
        <is>
          <t>集团</t>
        </is>
      </c>
      <c r="C180" s="5" t="inlineStr">
        <is>
          <t>集团</t>
        </is>
      </c>
      <c r="D180" s="38" t="n">
        <v>2024</v>
      </c>
      <c r="E180" s="5" t="inlineStr">
        <is>
          <t>管理费用</t>
        </is>
      </c>
      <c r="F180" s="8" t="n">
        <v>825</v>
      </c>
    </row>
    <row r="181">
      <c r="A181" s="5" t="inlineStr">
        <is>
          <t>合并</t>
        </is>
      </c>
      <c r="B181" s="5" t="inlineStr">
        <is>
          <t>集团</t>
        </is>
      </c>
      <c r="C181" s="5" t="inlineStr">
        <is>
          <t>集团</t>
        </is>
      </c>
      <c r="D181" s="38" t="n">
        <v>2024</v>
      </c>
      <c r="E181" s="5" t="inlineStr">
        <is>
          <t>管理费用</t>
        </is>
      </c>
      <c r="F181" s="8" t="n">
        <v>4785</v>
      </c>
    </row>
    <row r="182">
      <c r="A182" s="5" t="inlineStr">
        <is>
          <t>智擎研究院</t>
        </is>
      </c>
      <c r="B182" s="5" t="inlineStr">
        <is>
          <t>集团</t>
        </is>
      </c>
      <c r="C182" s="5" t="inlineStr">
        <is>
          <t>集团</t>
        </is>
      </c>
      <c r="D182" s="38" t="n">
        <v>2024</v>
      </c>
      <c r="E182" s="5" t="inlineStr">
        <is>
          <t>净利润</t>
        </is>
      </c>
      <c r="F182" s="8" t="n">
        <v>-56910.56</v>
      </c>
    </row>
    <row r="183">
      <c r="A183" s="5" t="inlineStr">
        <is>
          <t>智擎研究院</t>
        </is>
      </c>
      <c r="B183" s="5" t="inlineStr">
        <is>
          <t>集团</t>
        </is>
      </c>
      <c r="C183" s="5" t="inlineStr">
        <is>
          <t>集团</t>
        </is>
      </c>
      <c r="D183" s="38" t="n">
        <v>2024</v>
      </c>
      <c r="E183" s="5" t="inlineStr">
        <is>
          <t>现金</t>
        </is>
      </c>
      <c r="F183" s="8" t="n">
        <v>4475.286849</v>
      </c>
    </row>
    <row r="184">
      <c r="A184" s="5" t="inlineStr">
        <is>
          <t>智擎研究院</t>
        </is>
      </c>
      <c r="B184" s="5" t="inlineStr">
        <is>
          <t>集团</t>
        </is>
      </c>
      <c r="C184" s="5" t="inlineStr">
        <is>
          <t>集团</t>
        </is>
      </c>
      <c r="D184" s="38" t="n">
        <v>2024</v>
      </c>
      <c r="E184" s="5" t="inlineStr">
        <is>
          <t>固定资产</t>
        </is>
      </c>
      <c r="F184" s="8" t="n">
        <v>99000</v>
      </c>
    </row>
    <row r="185">
      <c r="A185" s="5" t="inlineStr">
        <is>
          <t>智擎研究院</t>
        </is>
      </c>
      <c r="B185" s="5" t="inlineStr">
        <is>
          <t>集团</t>
        </is>
      </c>
      <c r="C185" s="5" t="inlineStr">
        <is>
          <t>集团</t>
        </is>
      </c>
      <c r="D185" s="38" t="n">
        <v>2024</v>
      </c>
      <c r="E185" s="5" t="inlineStr">
        <is>
          <t>营业收入</t>
        </is>
      </c>
      <c r="F185" s="8" t="n">
        <v>9949.440000000001</v>
      </c>
    </row>
    <row r="186">
      <c r="A186" s="5" t="inlineStr">
        <is>
          <t>智擎研究院</t>
        </is>
      </c>
      <c r="B186" s="5" t="inlineStr">
        <is>
          <t>集团</t>
        </is>
      </c>
      <c r="C186" s="5" t="inlineStr">
        <is>
          <t>集团</t>
        </is>
      </c>
      <c r="D186" s="38" t="n">
        <v>2024</v>
      </c>
      <c r="E186" s="5" t="inlineStr">
        <is>
          <t>毛利</t>
        </is>
      </c>
      <c r="F186" s="8" t="n">
        <v>9949.440000000001</v>
      </c>
    </row>
    <row r="187">
      <c r="A187" s="5" t="inlineStr">
        <is>
          <t>智擎研究院</t>
        </is>
      </c>
      <c r="B187" s="5" t="inlineStr">
        <is>
          <t>集团</t>
        </is>
      </c>
      <c r="C187" s="5" t="inlineStr">
        <is>
          <t>集团</t>
        </is>
      </c>
      <c r="D187" s="38" t="n">
        <v>2024</v>
      </c>
      <c r="E187" s="5" t="inlineStr">
        <is>
          <t>EBITDA</t>
        </is>
      </c>
      <c r="F187" s="8" t="n">
        <v>-27910.56</v>
      </c>
    </row>
    <row r="188">
      <c r="A188" s="5" t="inlineStr">
        <is>
          <t>智擎云</t>
        </is>
      </c>
      <c r="B188" s="5" t="inlineStr">
        <is>
          <t>集团</t>
        </is>
      </c>
      <c r="C188" s="5" t="inlineStr">
        <is>
          <t>集团</t>
        </is>
      </c>
      <c r="D188" s="38" t="n">
        <v>2024</v>
      </c>
      <c r="E188" s="5" t="inlineStr">
        <is>
          <t>净利润</t>
        </is>
      </c>
      <c r="F188" s="8" t="n">
        <v>-4837.6</v>
      </c>
    </row>
    <row r="189">
      <c r="A189" s="5" t="inlineStr">
        <is>
          <t>智擎云</t>
        </is>
      </c>
      <c r="B189" s="5" t="inlineStr">
        <is>
          <t>集团</t>
        </is>
      </c>
      <c r="C189" s="5" t="inlineStr">
        <is>
          <t>集团</t>
        </is>
      </c>
      <c r="D189" s="38" t="n">
        <v>2024</v>
      </c>
      <c r="E189" s="5" t="inlineStr">
        <is>
          <t>现金</t>
        </is>
      </c>
      <c r="F189" s="8" t="n">
        <v>3609.698904</v>
      </c>
    </row>
    <row r="190">
      <c r="A190" s="5" t="inlineStr">
        <is>
          <t>智擎云</t>
        </is>
      </c>
      <c r="B190" s="5" t="inlineStr">
        <is>
          <t>集团</t>
        </is>
      </c>
      <c r="C190" s="5" t="inlineStr">
        <is>
          <t>集团</t>
        </is>
      </c>
      <c r="D190" s="38" t="n">
        <v>2024</v>
      </c>
      <c r="E190" s="5" t="inlineStr">
        <is>
          <t>固定资产</t>
        </is>
      </c>
      <c r="F190" s="8" t="n">
        <v>45000</v>
      </c>
    </row>
    <row r="191">
      <c r="A191" s="5" t="inlineStr">
        <is>
          <t>智擎云</t>
        </is>
      </c>
      <c r="B191" s="5" t="inlineStr">
        <is>
          <t>集团</t>
        </is>
      </c>
      <c r="C191" s="5" t="inlineStr">
        <is>
          <t>集团</t>
        </is>
      </c>
      <c r="D191" s="38" t="n">
        <v>2024</v>
      </c>
      <c r="E191" s="5" t="inlineStr">
        <is>
          <t>营业收入</t>
        </is>
      </c>
      <c r="F191" s="8" t="n">
        <v>39272</v>
      </c>
    </row>
    <row r="192">
      <c r="A192" s="5" t="inlineStr">
        <is>
          <t>智擎云</t>
        </is>
      </c>
      <c r="B192" s="5" t="inlineStr">
        <is>
          <t>集团</t>
        </is>
      </c>
      <c r="C192" s="5" t="inlineStr">
        <is>
          <t>集团</t>
        </is>
      </c>
      <c r="D192" s="38" t="n">
        <v>2024</v>
      </c>
      <c r="E192" s="5" t="inlineStr">
        <is>
          <t>毛利</t>
        </is>
      </c>
      <c r="F192" s="8" t="n">
        <v>15512.4</v>
      </c>
    </row>
    <row r="193">
      <c r="A193" s="5" t="inlineStr">
        <is>
          <t>智擎云</t>
        </is>
      </c>
      <c r="B193" s="5" t="inlineStr">
        <is>
          <t>集团</t>
        </is>
      </c>
      <c r="C193" s="5" t="inlineStr">
        <is>
          <t>集团</t>
        </is>
      </c>
      <c r="D193" s="38" t="n">
        <v>2024</v>
      </c>
      <c r="E193" s="5" t="inlineStr">
        <is>
          <t>EBITDA</t>
        </is>
      </c>
      <c r="F193" s="8" t="n">
        <v>8162.4</v>
      </c>
    </row>
    <row r="194">
      <c r="A194" s="5" t="inlineStr">
        <is>
          <t>智擎行业</t>
        </is>
      </c>
      <c r="B194" s="5" t="inlineStr">
        <is>
          <t>集团</t>
        </is>
      </c>
      <c r="C194" s="5" t="inlineStr">
        <is>
          <t>集团</t>
        </is>
      </c>
      <c r="D194" s="38" t="n">
        <v>2024</v>
      </c>
      <c r="E194" s="5" t="inlineStr">
        <is>
          <t>净利润</t>
        </is>
      </c>
      <c r="F194" s="8" t="n">
        <v>-5436</v>
      </c>
    </row>
    <row r="195">
      <c r="A195" s="5" t="inlineStr">
        <is>
          <t>智擎行业</t>
        </is>
      </c>
      <c r="B195" s="5" t="inlineStr">
        <is>
          <t>集团</t>
        </is>
      </c>
      <c r="C195" s="5" t="inlineStr">
        <is>
          <t>集团</t>
        </is>
      </c>
      <c r="D195" s="38" t="n">
        <v>2024</v>
      </c>
      <c r="E195" s="5" t="inlineStr">
        <is>
          <t>现金</t>
        </is>
      </c>
      <c r="F195" s="8" t="n">
        <v>32022.342466</v>
      </c>
    </row>
    <row r="196">
      <c r="A196" s="5" t="inlineStr">
        <is>
          <t>智擎行业</t>
        </is>
      </c>
      <c r="B196" s="5" t="inlineStr">
        <is>
          <t>集团</t>
        </is>
      </c>
      <c r="C196" s="5" t="inlineStr">
        <is>
          <t>集团</t>
        </is>
      </c>
      <c r="D196" s="38" t="n">
        <v>2024</v>
      </c>
      <c r="E196" s="5" t="inlineStr">
        <is>
          <t>固定资产</t>
        </is>
      </c>
      <c r="F196" s="8" t="n">
        <v>0</v>
      </c>
    </row>
    <row r="197">
      <c r="A197" s="5" t="inlineStr">
        <is>
          <t>智擎行业</t>
        </is>
      </c>
      <c r="B197" s="5" t="inlineStr">
        <is>
          <t>集团</t>
        </is>
      </c>
      <c r="C197" s="5" t="inlineStr">
        <is>
          <t>集团</t>
        </is>
      </c>
      <c r="D197" s="38" t="n">
        <v>2024</v>
      </c>
      <c r="E197" s="5" t="inlineStr">
        <is>
          <t>营业收入</t>
        </is>
      </c>
      <c r="F197" s="8" t="n">
        <v>18400</v>
      </c>
    </row>
    <row r="198">
      <c r="A198" s="5" t="inlineStr">
        <is>
          <t>智擎行业</t>
        </is>
      </c>
      <c r="B198" s="5" t="inlineStr">
        <is>
          <t>集团</t>
        </is>
      </c>
      <c r="C198" s="5" t="inlineStr">
        <is>
          <t>集团</t>
        </is>
      </c>
      <c r="D198" s="38" t="n">
        <v>2024</v>
      </c>
      <c r="E198" s="5" t="inlineStr">
        <is>
          <t>毛利</t>
        </is>
      </c>
      <c r="F198" s="8" t="n">
        <v>2774</v>
      </c>
    </row>
    <row r="199">
      <c r="A199" s="5" t="inlineStr">
        <is>
          <t>智擎行业</t>
        </is>
      </c>
      <c r="B199" s="5" t="inlineStr">
        <is>
          <t>集团</t>
        </is>
      </c>
      <c r="C199" s="5" t="inlineStr">
        <is>
          <t>集团</t>
        </is>
      </c>
      <c r="D199" s="38" t="n">
        <v>2024</v>
      </c>
      <c r="E199" s="5" t="inlineStr">
        <is>
          <t>EBITDA</t>
        </is>
      </c>
      <c r="F199" s="8" t="n">
        <v>-5436</v>
      </c>
    </row>
    <row r="200">
      <c r="A200" s="5" t="inlineStr">
        <is>
          <t>智擎互联</t>
        </is>
      </c>
      <c r="B200" s="5" t="inlineStr">
        <is>
          <t>集团</t>
        </is>
      </c>
      <c r="C200" s="5" t="inlineStr">
        <is>
          <t>集团</t>
        </is>
      </c>
      <c r="D200" s="38" t="n">
        <v>2024</v>
      </c>
      <c r="E200" s="5" t="inlineStr">
        <is>
          <t>净利润</t>
        </is>
      </c>
      <c r="F200" s="8" t="n">
        <v>-12383.04</v>
      </c>
    </row>
    <row r="201">
      <c r="A201" s="5" t="inlineStr">
        <is>
          <t>智擎互联</t>
        </is>
      </c>
      <c r="B201" s="5" t="inlineStr">
        <is>
          <t>集团</t>
        </is>
      </c>
      <c r="C201" s="5" t="inlineStr">
        <is>
          <t>集团</t>
        </is>
      </c>
      <c r="D201" s="38" t="n">
        <v>2024</v>
      </c>
      <c r="E201" s="5" t="inlineStr">
        <is>
          <t>现金</t>
        </is>
      </c>
      <c r="F201" s="8" t="n">
        <v>7510.873425</v>
      </c>
    </row>
    <row r="202">
      <c r="A202" s="5" t="inlineStr">
        <is>
          <t>智擎互联</t>
        </is>
      </c>
      <c r="B202" s="5" t="inlineStr">
        <is>
          <t>集团</t>
        </is>
      </c>
      <c r="C202" s="5" t="inlineStr">
        <is>
          <t>集团</t>
        </is>
      </c>
      <c r="D202" s="38" t="n">
        <v>2024</v>
      </c>
      <c r="E202" s="5" t="inlineStr">
        <is>
          <t>固定资产</t>
        </is>
      </c>
      <c r="F202" s="8" t="n">
        <v>0</v>
      </c>
    </row>
    <row r="203">
      <c r="A203" s="5" t="inlineStr">
        <is>
          <t>智擎互联</t>
        </is>
      </c>
      <c r="B203" s="5" t="inlineStr">
        <is>
          <t>集团</t>
        </is>
      </c>
      <c r="C203" s="5" t="inlineStr">
        <is>
          <t>集团</t>
        </is>
      </c>
      <c r="D203" s="38" t="n">
        <v>2024</v>
      </c>
      <c r="E203" s="5" t="inlineStr">
        <is>
          <t>营业收入</t>
        </is>
      </c>
      <c r="F203" s="8" t="n">
        <v>5974.4</v>
      </c>
    </row>
    <row r="204">
      <c r="A204" s="5" t="inlineStr">
        <is>
          <t>智擎互联</t>
        </is>
      </c>
      <c r="B204" s="5" t="inlineStr">
        <is>
          <t>集团</t>
        </is>
      </c>
      <c r="C204" s="5" t="inlineStr">
        <is>
          <t>集团</t>
        </is>
      </c>
      <c r="D204" s="38" t="n">
        <v>2024</v>
      </c>
      <c r="E204" s="5" t="inlineStr">
        <is>
          <t>毛利</t>
        </is>
      </c>
      <c r="F204" s="8" t="n">
        <v>1416.96</v>
      </c>
    </row>
    <row r="205">
      <c r="A205" s="5" t="inlineStr">
        <is>
          <t>智擎互联</t>
        </is>
      </c>
      <c r="B205" s="5" t="inlineStr">
        <is>
          <t>集团</t>
        </is>
      </c>
      <c r="C205" s="5" t="inlineStr">
        <is>
          <t>集团</t>
        </is>
      </c>
      <c r="D205" s="38" t="n">
        <v>2024</v>
      </c>
      <c r="E205" s="5" t="inlineStr">
        <is>
          <t>EBITDA</t>
        </is>
      </c>
      <c r="F205" s="8" t="n">
        <v>-12383.04</v>
      </c>
    </row>
    <row r="206">
      <c r="A206" s="5" t="inlineStr">
        <is>
          <t>合并</t>
        </is>
      </c>
      <c r="B206" s="5" t="inlineStr">
        <is>
          <t>集团</t>
        </is>
      </c>
      <c r="C206" s="5" t="inlineStr">
        <is>
          <t>集团</t>
        </is>
      </c>
      <c r="D206" s="38" t="n">
        <v>2024</v>
      </c>
      <c r="E206" s="5" t="inlineStr">
        <is>
          <t>净利润</t>
        </is>
      </c>
      <c r="F206" s="8" t="n">
        <v>-79567.2</v>
      </c>
    </row>
    <row r="207">
      <c r="A207" s="5" t="inlineStr">
        <is>
          <t>合并</t>
        </is>
      </c>
      <c r="B207" s="5" t="inlineStr">
        <is>
          <t>集团</t>
        </is>
      </c>
      <c r="C207" s="5" t="inlineStr">
        <is>
          <t>集团</t>
        </is>
      </c>
      <c r="D207" s="38" t="n">
        <v>2024</v>
      </c>
      <c r="E207" s="5" t="inlineStr">
        <is>
          <t>现金</t>
        </is>
      </c>
      <c r="F207" s="8" t="n">
        <v>47618.201644</v>
      </c>
    </row>
    <row r="208">
      <c r="A208" s="5" t="inlineStr">
        <is>
          <t>合并</t>
        </is>
      </c>
      <c r="B208" s="5" t="inlineStr">
        <is>
          <t>集团</t>
        </is>
      </c>
      <c r="C208" s="5" t="inlineStr">
        <is>
          <t>集团</t>
        </is>
      </c>
      <c r="D208" s="38" t="n">
        <v>2024</v>
      </c>
      <c r="E208" s="5" t="inlineStr">
        <is>
          <t>固定资产</t>
        </is>
      </c>
      <c r="F208" s="8" t="n">
        <v>144000</v>
      </c>
    </row>
    <row r="209">
      <c r="A209" s="5" t="inlineStr">
        <is>
          <t>合并</t>
        </is>
      </c>
      <c r="B209" s="5" t="inlineStr">
        <is>
          <t>集团</t>
        </is>
      </c>
      <c r="C209" s="5" t="inlineStr">
        <is>
          <t>集团</t>
        </is>
      </c>
      <c r="D209" s="38" t="n">
        <v>2024</v>
      </c>
      <c r="E209" s="5" t="inlineStr">
        <is>
          <t>营业收入</t>
        </is>
      </c>
      <c r="F209" s="8" t="n">
        <v>60874.4</v>
      </c>
    </row>
    <row r="210">
      <c r="A210" s="5" t="inlineStr">
        <is>
          <t>合并</t>
        </is>
      </c>
      <c r="B210" s="5" t="inlineStr">
        <is>
          <t>集团</t>
        </is>
      </c>
      <c r="C210" s="5" t="inlineStr">
        <is>
          <t>集团</t>
        </is>
      </c>
      <c r="D210" s="38" t="n">
        <v>2024</v>
      </c>
      <c r="E210" s="5" t="inlineStr">
        <is>
          <t>毛利</t>
        </is>
      </c>
      <c r="F210" s="8" t="n">
        <v>29652.8</v>
      </c>
    </row>
    <row r="211">
      <c r="A211" s="5" t="inlineStr">
        <is>
          <t>合并</t>
        </is>
      </c>
      <c r="B211" s="5" t="inlineStr">
        <is>
          <t>集团</t>
        </is>
      </c>
      <c r="C211" s="5" t="inlineStr">
        <is>
          <t>集团</t>
        </is>
      </c>
      <c r="D211" s="38" t="n">
        <v>2024</v>
      </c>
      <c r="E211" s="5" t="inlineStr">
        <is>
          <t>EBITDA</t>
        </is>
      </c>
      <c r="F211" s="8" t="n">
        <v>-37567.2</v>
      </c>
    </row>
    <row r="212">
      <c r="A212" s="5" t="inlineStr">
        <is>
          <t>合并</t>
        </is>
      </c>
      <c r="B212" s="5" t="inlineStr">
        <is>
          <t>MaaS API</t>
        </is>
      </c>
      <c r="C212" s="5" t="inlineStr">
        <is>
          <t>华东</t>
        </is>
      </c>
      <c r="D212" s="38" t="n">
        <v>2025</v>
      </c>
      <c r="E212" s="5" t="inlineStr">
        <is>
          <t>收入</t>
        </is>
      </c>
      <c r="F212" s="8" t="n">
        <v>23652</v>
      </c>
    </row>
    <row r="213">
      <c r="A213" s="5" t="inlineStr">
        <is>
          <t>智擎云</t>
        </is>
      </c>
      <c r="B213" s="5" t="inlineStr">
        <is>
          <t>MaaS API</t>
        </is>
      </c>
      <c r="C213" s="5" t="inlineStr">
        <is>
          <t>华东</t>
        </is>
      </c>
      <c r="D213" s="38" t="n">
        <v>2025</v>
      </c>
      <c r="E213" s="5" t="inlineStr">
        <is>
          <t>收入</t>
        </is>
      </c>
      <c r="F213" s="8" t="n">
        <v>23652</v>
      </c>
    </row>
    <row r="214">
      <c r="A214" s="5" t="inlineStr">
        <is>
          <t>合并</t>
        </is>
      </c>
      <c r="B214" s="5" t="inlineStr">
        <is>
          <t>MaaS API</t>
        </is>
      </c>
      <c r="C214" s="5" t="inlineStr">
        <is>
          <t>华北</t>
        </is>
      </c>
      <c r="D214" s="38" t="n">
        <v>2025</v>
      </c>
      <c r="E214" s="5" t="inlineStr">
        <is>
          <t>收入</t>
        </is>
      </c>
      <c r="F214" s="8" t="n">
        <v>22863.6</v>
      </c>
    </row>
    <row r="215">
      <c r="A215" s="5" t="inlineStr">
        <is>
          <t>智擎云</t>
        </is>
      </c>
      <c r="B215" s="5" t="inlineStr">
        <is>
          <t>MaaS API</t>
        </is>
      </c>
      <c r="C215" s="5" t="inlineStr">
        <is>
          <t>华北</t>
        </is>
      </c>
      <c r="D215" s="38" t="n">
        <v>2025</v>
      </c>
      <c r="E215" s="5" t="inlineStr">
        <is>
          <t>收入</t>
        </is>
      </c>
      <c r="F215" s="8" t="n">
        <v>22863.6</v>
      </c>
    </row>
    <row r="216">
      <c r="A216" s="5" t="inlineStr">
        <is>
          <t>合并</t>
        </is>
      </c>
      <c r="B216" s="5" t="inlineStr">
        <is>
          <t>MaaS API</t>
        </is>
      </c>
      <c r="C216" s="5" t="inlineStr">
        <is>
          <t>华南</t>
        </is>
      </c>
      <c r="D216" s="38" t="n">
        <v>2025</v>
      </c>
      <c r="E216" s="5" t="inlineStr">
        <is>
          <t>收入</t>
        </is>
      </c>
      <c r="F216" s="8" t="n">
        <v>15768</v>
      </c>
    </row>
    <row r="217">
      <c r="A217" s="5" t="inlineStr">
        <is>
          <t>智擎云</t>
        </is>
      </c>
      <c r="B217" s="5" t="inlineStr">
        <is>
          <t>MaaS API</t>
        </is>
      </c>
      <c r="C217" s="5" t="inlineStr">
        <is>
          <t>华南</t>
        </is>
      </c>
      <c r="D217" s="38" t="n">
        <v>2025</v>
      </c>
      <c r="E217" s="5" t="inlineStr">
        <is>
          <t>收入</t>
        </is>
      </c>
      <c r="F217" s="8" t="n">
        <v>15768</v>
      </c>
    </row>
    <row r="218">
      <c r="A218" s="5" t="inlineStr">
        <is>
          <t>合并</t>
        </is>
      </c>
      <c r="B218" s="5" t="inlineStr">
        <is>
          <t>MaaS API</t>
        </is>
      </c>
      <c r="C218" s="5" t="inlineStr">
        <is>
          <t>海外</t>
        </is>
      </c>
      <c r="D218" s="38" t="n">
        <v>2025</v>
      </c>
      <c r="E218" s="5" t="inlineStr">
        <is>
          <t>收入</t>
        </is>
      </c>
      <c r="F218" s="8" t="n">
        <v>16556.4</v>
      </c>
    </row>
    <row r="219">
      <c r="A219" s="5" t="inlineStr">
        <is>
          <t>智擎云</t>
        </is>
      </c>
      <c r="B219" s="5" t="inlineStr">
        <is>
          <t>MaaS API</t>
        </is>
      </c>
      <c r="C219" s="5" t="inlineStr">
        <is>
          <t>海外</t>
        </is>
      </c>
      <c r="D219" s="38" t="n">
        <v>2025</v>
      </c>
      <c r="E219" s="5" t="inlineStr">
        <is>
          <t>收入</t>
        </is>
      </c>
      <c r="F219" s="8" t="n">
        <v>16556.4</v>
      </c>
    </row>
    <row r="220">
      <c r="A220" s="5" t="inlineStr">
        <is>
          <t>合并</t>
        </is>
      </c>
      <c r="B220" s="5" t="inlineStr">
        <is>
          <t>私有化部署</t>
        </is>
      </c>
      <c r="C220" s="5" t="inlineStr">
        <is>
          <t>华东</t>
        </is>
      </c>
      <c r="D220" s="38" t="n">
        <v>2025</v>
      </c>
      <c r="E220" s="5" t="inlineStr">
        <is>
          <t>收入</t>
        </is>
      </c>
      <c r="F220" s="8" t="n">
        <v>8250</v>
      </c>
    </row>
    <row r="221">
      <c r="A221" s="5" t="inlineStr">
        <is>
          <t>智擎行业</t>
        </is>
      </c>
      <c r="B221" s="5" t="inlineStr">
        <is>
          <t>私有化部署</t>
        </is>
      </c>
      <c r="C221" s="5" t="inlineStr">
        <is>
          <t>华东</t>
        </is>
      </c>
      <c r="D221" s="38" t="n">
        <v>2025</v>
      </c>
      <c r="E221" s="5" t="inlineStr">
        <is>
          <t>收入</t>
        </is>
      </c>
      <c r="F221" s="8" t="n">
        <v>8250</v>
      </c>
    </row>
    <row r="222">
      <c r="A222" s="5" t="inlineStr">
        <is>
          <t>合并</t>
        </is>
      </c>
      <c r="B222" s="5" t="inlineStr">
        <is>
          <t>私有化部署</t>
        </is>
      </c>
      <c r="C222" s="5" t="inlineStr">
        <is>
          <t>华北</t>
        </is>
      </c>
      <c r="D222" s="38" t="n">
        <v>2025</v>
      </c>
      <c r="E222" s="5" t="inlineStr">
        <is>
          <t>收入</t>
        </is>
      </c>
      <c r="F222" s="8" t="n">
        <v>7975</v>
      </c>
    </row>
    <row r="223">
      <c r="A223" s="5" t="inlineStr">
        <is>
          <t>智擎行业</t>
        </is>
      </c>
      <c r="B223" s="5" t="inlineStr">
        <is>
          <t>私有化部署</t>
        </is>
      </c>
      <c r="C223" s="5" t="inlineStr">
        <is>
          <t>华北</t>
        </is>
      </c>
      <c r="D223" s="38" t="n">
        <v>2025</v>
      </c>
      <c r="E223" s="5" t="inlineStr">
        <is>
          <t>收入</t>
        </is>
      </c>
      <c r="F223" s="8" t="n">
        <v>7975</v>
      </c>
    </row>
    <row r="224">
      <c r="A224" s="5" t="inlineStr">
        <is>
          <t>合并</t>
        </is>
      </c>
      <c r="B224" s="5" t="inlineStr">
        <is>
          <t>私有化部署</t>
        </is>
      </c>
      <c r="C224" s="5" t="inlineStr">
        <is>
          <t>华南</t>
        </is>
      </c>
      <c r="D224" s="38" t="n">
        <v>2025</v>
      </c>
      <c r="E224" s="5" t="inlineStr">
        <is>
          <t>收入</t>
        </is>
      </c>
      <c r="F224" s="8" t="n">
        <v>5500</v>
      </c>
    </row>
    <row r="225">
      <c r="A225" s="5" t="inlineStr">
        <is>
          <t>智擎行业</t>
        </is>
      </c>
      <c r="B225" s="5" t="inlineStr">
        <is>
          <t>私有化部署</t>
        </is>
      </c>
      <c r="C225" s="5" t="inlineStr">
        <is>
          <t>华南</t>
        </is>
      </c>
      <c r="D225" s="38" t="n">
        <v>2025</v>
      </c>
      <c r="E225" s="5" t="inlineStr">
        <is>
          <t>收入</t>
        </is>
      </c>
      <c r="F225" s="8" t="n">
        <v>5500</v>
      </c>
    </row>
    <row r="226">
      <c r="A226" s="5" t="inlineStr">
        <is>
          <t>合并</t>
        </is>
      </c>
      <c r="B226" s="5" t="inlineStr">
        <is>
          <t>私有化部署</t>
        </is>
      </c>
      <c r="C226" s="5" t="inlineStr">
        <is>
          <t>海外</t>
        </is>
      </c>
      <c r="D226" s="38" t="n">
        <v>2025</v>
      </c>
      <c r="E226" s="5" t="inlineStr">
        <is>
          <t>收入</t>
        </is>
      </c>
      <c r="F226" s="8" t="n">
        <v>5775</v>
      </c>
    </row>
    <row r="227">
      <c r="A227" s="5" t="inlineStr">
        <is>
          <t>智擎行业</t>
        </is>
      </c>
      <c r="B227" s="5" t="inlineStr">
        <is>
          <t>私有化部署</t>
        </is>
      </c>
      <c r="C227" s="5" t="inlineStr">
        <is>
          <t>海外</t>
        </is>
      </c>
      <c r="D227" s="38" t="n">
        <v>2025</v>
      </c>
      <c r="E227" s="5" t="inlineStr">
        <is>
          <t>收入</t>
        </is>
      </c>
      <c r="F227" s="8" t="n">
        <v>5775</v>
      </c>
    </row>
    <row r="228">
      <c r="A228" s="5" t="inlineStr">
        <is>
          <t>合并</t>
        </is>
      </c>
      <c r="B228" s="5" t="inlineStr">
        <is>
          <t>行业解决方案</t>
        </is>
      </c>
      <c r="C228" s="5" t="inlineStr">
        <is>
          <t>华东</t>
        </is>
      </c>
      <c r="D228" s="38" t="n">
        <v>2025</v>
      </c>
      <c r="E228" s="5" t="inlineStr">
        <is>
          <t>收入</t>
        </is>
      </c>
      <c r="F228" s="8" t="n">
        <v>1953</v>
      </c>
    </row>
    <row r="229">
      <c r="A229" s="5" t="inlineStr">
        <is>
          <t>智擎行业</t>
        </is>
      </c>
      <c r="B229" s="5" t="inlineStr">
        <is>
          <t>行业解决方案</t>
        </is>
      </c>
      <c r="C229" s="5" t="inlineStr">
        <is>
          <t>华东</t>
        </is>
      </c>
      <c r="D229" s="38" t="n">
        <v>2025</v>
      </c>
      <c r="E229" s="5" t="inlineStr">
        <is>
          <t>收入</t>
        </is>
      </c>
      <c r="F229" s="8" t="n">
        <v>1953</v>
      </c>
    </row>
    <row r="230">
      <c r="A230" s="5" t="inlineStr">
        <is>
          <t>合并</t>
        </is>
      </c>
      <c r="B230" s="5" t="inlineStr">
        <is>
          <t>行业解决方案</t>
        </is>
      </c>
      <c r="C230" s="5" t="inlineStr">
        <is>
          <t>华北</t>
        </is>
      </c>
      <c r="D230" s="38" t="n">
        <v>2025</v>
      </c>
      <c r="E230" s="5" t="inlineStr">
        <is>
          <t>收入</t>
        </is>
      </c>
      <c r="F230" s="8" t="n">
        <v>1887.9</v>
      </c>
    </row>
    <row r="231">
      <c r="A231" s="5" t="inlineStr">
        <is>
          <t>智擎行业</t>
        </is>
      </c>
      <c r="B231" s="5" t="inlineStr">
        <is>
          <t>行业解决方案</t>
        </is>
      </c>
      <c r="C231" s="5" t="inlineStr">
        <is>
          <t>华北</t>
        </is>
      </c>
      <c r="D231" s="38" t="n">
        <v>2025</v>
      </c>
      <c r="E231" s="5" t="inlineStr">
        <is>
          <t>收入</t>
        </is>
      </c>
      <c r="F231" s="8" t="n">
        <v>1887.9</v>
      </c>
    </row>
    <row r="232">
      <c r="A232" s="5" t="inlineStr">
        <is>
          <t>合并</t>
        </is>
      </c>
      <c r="B232" s="5" t="inlineStr">
        <is>
          <t>行业解决方案</t>
        </is>
      </c>
      <c r="C232" s="5" t="inlineStr">
        <is>
          <t>华南</t>
        </is>
      </c>
      <c r="D232" s="38" t="n">
        <v>2025</v>
      </c>
      <c r="E232" s="5" t="inlineStr">
        <is>
          <t>收入</t>
        </is>
      </c>
      <c r="F232" s="8" t="n">
        <v>1302</v>
      </c>
    </row>
    <row r="233">
      <c r="A233" s="5" t="inlineStr">
        <is>
          <t>智擎行业</t>
        </is>
      </c>
      <c r="B233" s="5" t="inlineStr">
        <is>
          <t>行业解决方案</t>
        </is>
      </c>
      <c r="C233" s="5" t="inlineStr">
        <is>
          <t>华南</t>
        </is>
      </c>
      <c r="D233" s="38" t="n">
        <v>2025</v>
      </c>
      <c r="E233" s="5" t="inlineStr">
        <is>
          <t>收入</t>
        </is>
      </c>
      <c r="F233" s="8" t="n">
        <v>1302</v>
      </c>
    </row>
    <row r="234">
      <c r="A234" s="5" t="inlineStr">
        <is>
          <t>合并</t>
        </is>
      </c>
      <c r="B234" s="5" t="inlineStr">
        <is>
          <t>行业解决方案</t>
        </is>
      </c>
      <c r="C234" s="5" t="inlineStr">
        <is>
          <t>海外</t>
        </is>
      </c>
      <c r="D234" s="38" t="n">
        <v>2025</v>
      </c>
      <c r="E234" s="5" t="inlineStr">
        <is>
          <t>收入</t>
        </is>
      </c>
      <c r="F234" s="8" t="n">
        <v>1367.1</v>
      </c>
    </row>
    <row r="235">
      <c r="A235" s="5" t="inlineStr">
        <is>
          <t>智擎行业</t>
        </is>
      </c>
      <c r="B235" s="5" t="inlineStr">
        <is>
          <t>行业解决方案</t>
        </is>
      </c>
      <c r="C235" s="5" t="inlineStr">
        <is>
          <t>海外</t>
        </is>
      </c>
      <c r="D235" s="38" t="n">
        <v>2025</v>
      </c>
      <c r="E235" s="5" t="inlineStr">
        <is>
          <t>收入</t>
        </is>
      </c>
      <c r="F235" s="8" t="n">
        <v>1367.1</v>
      </c>
    </row>
    <row r="236">
      <c r="A236" s="5" t="inlineStr">
        <is>
          <t>合并</t>
        </is>
      </c>
      <c r="B236" s="5" t="inlineStr">
        <is>
          <t>C端订阅</t>
        </is>
      </c>
      <c r="C236" s="5" t="inlineStr">
        <is>
          <t>华东</t>
        </is>
      </c>
      <c r="D236" s="38" t="n">
        <v>2025</v>
      </c>
      <c r="E236" s="5" t="inlineStr">
        <is>
          <t>收入</t>
        </is>
      </c>
      <c r="F236" s="8" t="n">
        <v>3225.6</v>
      </c>
    </row>
    <row r="237">
      <c r="A237" s="5" t="inlineStr">
        <is>
          <t>智擎互联</t>
        </is>
      </c>
      <c r="B237" s="5" t="inlineStr">
        <is>
          <t>C端订阅</t>
        </is>
      </c>
      <c r="C237" s="5" t="inlineStr">
        <is>
          <t>华东</t>
        </is>
      </c>
      <c r="D237" s="38" t="n">
        <v>2025</v>
      </c>
      <c r="E237" s="5" t="inlineStr">
        <is>
          <t>收入</t>
        </is>
      </c>
      <c r="F237" s="8" t="n">
        <v>3225.6</v>
      </c>
    </row>
    <row r="238">
      <c r="A238" s="5" t="inlineStr">
        <is>
          <t>合并</t>
        </is>
      </c>
      <c r="B238" s="5" t="inlineStr">
        <is>
          <t>C端订阅</t>
        </is>
      </c>
      <c r="C238" s="5" t="inlineStr">
        <is>
          <t>华北</t>
        </is>
      </c>
      <c r="D238" s="38" t="n">
        <v>2025</v>
      </c>
      <c r="E238" s="5" t="inlineStr">
        <is>
          <t>收入</t>
        </is>
      </c>
      <c r="F238" s="8" t="n">
        <v>3118.08</v>
      </c>
    </row>
    <row r="239">
      <c r="A239" s="5" t="inlineStr">
        <is>
          <t>智擎互联</t>
        </is>
      </c>
      <c r="B239" s="5" t="inlineStr">
        <is>
          <t>C端订阅</t>
        </is>
      </c>
      <c r="C239" s="5" t="inlineStr">
        <is>
          <t>华北</t>
        </is>
      </c>
      <c r="D239" s="38" t="n">
        <v>2025</v>
      </c>
      <c r="E239" s="5" t="inlineStr">
        <is>
          <t>收入</t>
        </is>
      </c>
      <c r="F239" s="8" t="n">
        <v>3118.08</v>
      </c>
    </row>
    <row r="240">
      <c r="A240" s="5" t="inlineStr">
        <is>
          <t>合并</t>
        </is>
      </c>
      <c r="B240" s="5" t="inlineStr">
        <is>
          <t>C端订阅</t>
        </is>
      </c>
      <c r="C240" s="5" t="inlineStr">
        <is>
          <t>华南</t>
        </is>
      </c>
      <c r="D240" s="38" t="n">
        <v>2025</v>
      </c>
      <c r="E240" s="5" t="inlineStr">
        <is>
          <t>收入</t>
        </is>
      </c>
      <c r="F240" s="8" t="n">
        <v>2150.4</v>
      </c>
    </row>
    <row r="241">
      <c r="A241" s="5" t="inlineStr">
        <is>
          <t>智擎互联</t>
        </is>
      </c>
      <c r="B241" s="5" t="inlineStr">
        <is>
          <t>C端订阅</t>
        </is>
      </c>
      <c r="C241" s="5" t="inlineStr">
        <is>
          <t>华南</t>
        </is>
      </c>
      <c r="D241" s="38" t="n">
        <v>2025</v>
      </c>
      <c r="E241" s="5" t="inlineStr">
        <is>
          <t>收入</t>
        </is>
      </c>
      <c r="F241" s="8" t="n">
        <v>2150.4</v>
      </c>
    </row>
    <row r="242">
      <c r="A242" s="5" t="inlineStr">
        <is>
          <t>合并</t>
        </is>
      </c>
      <c r="B242" s="5" t="inlineStr">
        <is>
          <t>C端订阅</t>
        </is>
      </c>
      <c r="C242" s="5" t="inlineStr">
        <is>
          <t>海外</t>
        </is>
      </c>
      <c r="D242" s="38" t="n">
        <v>2025</v>
      </c>
      <c r="E242" s="5" t="inlineStr">
        <is>
          <t>收入</t>
        </is>
      </c>
      <c r="F242" s="8" t="n">
        <v>2257.92</v>
      </c>
    </row>
    <row r="243">
      <c r="A243" s="5" t="inlineStr">
        <is>
          <t>智擎互联</t>
        </is>
      </c>
      <c r="B243" s="5" t="inlineStr">
        <is>
          <t>C端订阅</t>
        </is>
      </c>
      <c r="C243" s="5" t="inlineStr">
        <is>
          <t>海外</t>
        </is>
      </c>
      <c r="D243" s="38" t="n">
        <v>2025</v>
      </c>
      <c r="E243" s="5" t="inlineStr">
        <is>
          <t>收入</t>
        </is>
      </c>
      <c r="F243" s="8" t="n">
        <v>2257.92</v>
      </c>
    </row>
    <row r="244">
      <c r="A244" s="5" t="inlineStr">
        <is>
          <t>合并</t>
        </is>
      </c>
      <c r="B244" s="5" t="inlineStr">
        <is>
          <t>广告及其他</t>
        </is>
      </c>
      <c r="C244" s="5" t="inlineStr">
        <is>
          <t>华东</t>
        </is>
      </c>
      <c r="D244" s="38" t="n">
        <v>2025</v>
      </c>
      <c r="E244" s="5" t="inlineStr">
        <is>
          <t>收入</t>
        </is>
      </c>
      <c r="F244" s="8" t="n">
        <v>360</v>
      </c>
    </row>
    <row r="245">
      <c r="A245" s="5" t="inlineStr">
        <is>
          <t>智擎互联</t>
        </is>
      </c>
      <c r="B245" s="5" t="inlineStr">
        <is>
          <t>广告及其他</t>
        </is>
      </c>
      <c r="C245" s="5" t="inlineStr">
        <is>
          <t>华东</t>
        </is>
      </c>
      <c r="D245" s="38" t="n">
        <v>2025</v>
      </c>
      <c r="E245" s="5" t="inlineStr">
        <is>
          <t>收入</t>
        </is>
      </c>
      <c r="F245" s="8" t="n">
        <v>360</v>
      </c>
    </row>
    <row r="246">
      <c r="A246" s="5" t="inlineStr">
        <is>
          <t>合并</t>
        </is>
      </c>
      <c r="B246" s="5" t="inlineStr">
        <is>
          <t>广告及其他</t>
        </is>
      </c>
      <c r="C246" s="5" t="inlineStr">
        <is>
          <t>华北</t>
        </is>
      </c>
      <c r="D246" s="38" t="n">
        <v>2025</v>
      </c>
      <c r="E246" s="5" t="inlineStr">
        <is>
          <t>收入</t>
        </is>
      </c>
      <c r="F246" s="8" t="n">
        <v>348</v>
      </c>
    </row>
    <row r="247">
      <c r="A247" s="5" t="inlineStr">
        <is>
          <t>智擎互联</t>
        </is>
      </c>
      <c r="B247" s="5" t="inlineStr">
        <is>
          <t>广告及其他</t>
        </is>
      </c>
      <c r="C247" s="5" t="inlineStr">
        <is>
          <t>华北</t>
        </is>
      </c>
      <c r="D247" s="38" t="n">
        <v>2025</v>
      </c>
      <c r="E247" s="5" t="inlineStr">
        <is>
          <t>收入</t>
        </is>
      </c>
      <c r="F247" s="8" t="n">
        <v>348</v>
      </c>
    </row>
    <row r="248">
      <c r="A248" s="5" t="inlineStr">
        <is>
          <t>合并</t>
        </is>
      </c>
      <c r="B248" s="5" t="inlineStr">
        <is>
          <t>广告及其他</t>
        </is>
      </c>
      <c r="C248" s="5" t="inlineStr">
        <is>
          <t>华南</t>
        </is>
      </c>
      <c r="D248" s="38" t="n">
        <v>2025</v>
      </c>
      <c r="E248" s="5" t="inlineStr">
        <is>
          <t>收入</t>
        </is>
      </c>
      <c r="F248" s="8" t="n">
        <v>240</v>
      </c>
    </row>
    <row r="249">
      <c r="A249" s="5" t="inlineStr">
        <is>
          <t>智擎互联</t>
        </is>
      </c>
      <c r="B249" s="5" t="inlineStr">
        <is>
          <t>广告及其他</t>
        </is>
      </c>
      <c r="C249" s="5" t="inlineStr">
        <is>
          <t>华南</t>
        </is>
      </c>
      <c r="D249" s="38" t="n">
        <v>2025</v>
      </c>
      <c r="E249" s="5" t="inlineStr">
        <is>
          <t>收入</t>
        </is>
      </c>
      <c r="F249" s="8" t="n">
        <v>240</v>
      </c>
    </row>
    <row r="250">
      <c r="A250" s="5" t="inlineStr">
        <is>
          <t>合并</t>
        </is>
      </c>
      <c r="B250" s="5" t="inlineStr">
        <is>
          <t>广告及其他</t>
        </is>
      </c>
      <c r="C250" s="5" t="inlineStr">
        <is>
          <t>海外</t>
        </is>
      </c>
      <c r="D250" s="38" t="n">
        <v>2025</v>
      </c>
      <c r="E250" s="5" t="inlineStr">
        <is>
          <t>收入</t>
        </is>
      </c>
      <c r="F250" s="8" t="n">
        <v>252</v>
      </c>
    </row>
    <row r="251">
      <c r="A251" s="5" t="inlineStr">
        <is>
          <t>智擎互联</t>
        </is>
      </c>
      <c r="B251" s="5" t="inlineStr">
        <is>
          <t>广告及其他</t>
        </is>
      </c>
      <c r="C251" s="5" t="inlineStr">
        <is>
          <t>海外</t>
        </is>
      </c>
      <c r="D251" s="38" t="n">
        <v>2025</v>
      </c>
      <c r="E251" s="5" t="inlineStr">
        <is>
          <t>收入</t>
        </is>
      </c>
      <c r="F251" s="8" t="n">
        <v>252</v>
      </c>
    </row>
    <row r="252">
      <c r="A252" s="5" t="inlineStr">
        <is>
          <t>智擎云</t>
        </is>
      </c>
      <c r="B252" s="5" t="inlineStr">
        <is>
          <t>MaaS API</t>
        </is>
      </c>
      <c r="C252" s="5" t="inlineStr">
        <is>
          <t>集团</t>
        </is>
      </c>
      <c r="D252" s="38" t="n">
        <v>2025</v>
      </c>
      <c r="E252" s="5" t="inlineStr">
        <is>
          <t>成本</t>
        </is>
      </c>
      <c r="F252" s="8" t="n">
        <v>36613.75</v>
      </c>
    </row>
    <row r="253">
      <c r="A253" s="5" t="inlineStr">
        <is>
          <t>合并</t>
        </is>
      </c>
      <c r="B253" s="5" t="inlineStr">
        <is>
          <t>MaaS API</t>
        </is>
      </c>
      <c r="C253" s="5" t="inlineStr">
        <is>
          <t>集团</t>
        </is>
      </c>
      <c r="D253" s="38" t="n">
        <v>2025</v>
      </c>
      <c r="E253" s="5" t="inlineStr">
        <is>
          <t>成本</t>
        </is>
      </c>
      <c r="F253" s="8" t="n">
        <v>36613.75</v>
      </c>
    </row>
    <row r="254">
      <c r="A254" s="5" t="inlineStr">
        <is>
          <t>智擎行业</t>
        </is>
      </c>
      <c r="B254" s="5" t="inlineStr">
        <is>
          <t>私有化部署</t>
        </is>
      </c>
      <c r="C254" s="5" t="inlineStr">
        <is>
          <t>集团</t>
        </is>
      </c>
      <c r="D254" s="38" t="n">
        <v>2025</v>
      </c>
      <c r="E254" s="5" t="inlineStr">
        <is>
          <t>成本</t>
        </is>
      </c>
      <c r="F254" s="8" t="n">
        <v>16775</v>
      </c>
    </row>
    <row r="255">
      <c r="A255" s="5" t="inlineStr">
        <is>
          <t>合并</t>
        </is>
      </c>
      <c r="B255" s="5" t="inlineStr">
        <is>
          <t>私有化部署</t>
        </is>
      </c>
      <c r="C255" s="5" t="inlineStr">
        <is>
          <t>集团</t>
        </is>
      </c>
      <c r="D255" s="38" t="n">
        <v>2025</v>
      </c>
      <c r="E255" s="5" t="inlineStr">
        <is>
          <t>成本</t>
        </is>
      </c>
      <c r="F255" s="8" t="n">
        <v>16775</v>
      </c>
    </row>
    <row r="256">
      <c r="A256" s="5" t="inlineStr">
        <is>
          <t>智擎行业</t>
        </is>
      </c>
      <c r="B256" s="5" t="inlineStr">
        <is>
          <t>行业解决方案</t>
        </is>
      </c>
      <c r="C256" s="5" t="inlineStr">
        <is>
          <t>集团</t>
        </is>
      </c>
      <c r="D256" s="38" t="n">
        <v>2025</v>
      </c>
      <c r="E256" s="5" t="inlineStr">
        <is>
          <t>成本</t>
        </is>
      </c>
      <c r="F256" s="8" t="n">
        <v>2734.2</v>
      </c>
    </row>
    <row r="257">
      <c r="A257" s="5" t="inlineStr">
        <is>
          <t>合并</t>
        </is>
      </c>
      <c r="B257" s="5" t="inlineStr">
        <is>
          <t>行业解决方案</t>
        </is>
      </c>
      <c r="C257" s="5" t="inlineStr">
        <is>
          <t>集团</t>
        </is>
      </c>
      <c r="D257" s="38" t="n">
        <v>2025</v>
      </c>
      <c r="E257" s="5" t="inlineStr">
        <is>
          <t>成本</t>
        </is>
      </c>
      <c r="F257" s="8" t="n">
        <v>2734.2</v>
      </c>
    </row>
    <row r="258">
      <c r="A258" s="5" t="inlineStr">
        <is>
          <t>智擎互联</t>
        </is>
      </c>
      <c r="B258" s="5" t="inlineStr">
        <is>
          <t>C端订阅</t>
        </is>
      </c>
      <c r="C258" s="5" t="inlineStr">
        <is>
          <t>集团</t>
        </is>
      </c>
      <c r="D258" s="38" t="n">
        <v>2025</v>
      </c>
      <c r="E258" s="5" t="inlineStr">
        <is>
          <t>成本</t>
        </is>
      </c>
      <c r="F258" s="8" t="n">
        <v>7488</v>
      </c>
    </row>
    <row r="259">
      <c r="A259" s="5" t="inlineStr">
        <is>
          <t>合并</t>
        </is>
      </c>
      <c r="B259" s="5" t="inlineStr">
        <is>
          <t>C端订阅</t>
        </is>
      </c>
      <c r="C259" s="5" t="inlineStr">
        <is>
          <t>集团</t>
        </is>
      </c>
      <c r="D259" s="38" t="n">
        <v>2025</v>
      </c>
      <c r="E259" s="5" t="inlineStr">
        <is>
          <t>成本</t>
        </is>
      </c>
      <c r="F259" s="8" t="n">
        <v>7488</v>
      </c>
    </row>
    <row r="260">
      <c r="A260" s="5" t="inlineStr">
        <is>
          <t>智擎互联</t>
        </is>
      </c>
      <c r="B260" s="5" t="inlineStr">
        <is>
          <t>广告及其他</t>
        </is>
      </c>
      <c r="C260" s="5" t="inlineStr">
        <is>
          <t>集团</t>
        </is>
      </c>
      <c r="D260" s="38" t="n">
        <v>2025</v>
      </c>
      <c r="E260" s="5" t="inlineStr">
        <is>
          <t>成本</t>
        </is>
      </c>
      <c r="F260" s="8" t="n">
        <v>0</v>
      </c>
    </row>
    <row r="261">
      <c r="A261" s="5" t="inlineStr">
        <is>
          <t>合并</t>
        </is>
      </c>
      <c r="B261" s="5" t="inlineStr">
        <is>
          <t>广告及其他</t>
        </is>
      </c>
      <c r="C261" s="5" t="inlineStr">
        <is>
          <t>集团</t>
        </is>
      </c>
      <c r="D261" s="38" t="n">
        <v>2025</v>
      </c>
      <c r="E261" s="5" t="inlineStr">
        <is>
          <t>成本</t>
        </is>
      </c>
      <c r="F261" s="8" t="n">
        <v>0</v>
      </c>
    </row>
    <row r="262">
      <c r="A262" s="5" t="inlineStr">
        <is>
          <t>智擎研究院</t>
        </is>
      </c>
      <c r="B262" s="5" t="inlineStr">
        <is>
          <t>集团</t>
        </is>
      </c>
      <c r="C262" s="5" t="inlineStr">
        <is>
          <t>集团</t>
        </is>
      </c>
      <c r="D262" s="38" t="n">
        <v>2025</v>
      </c>
      <c r="E262" s="5" t="inlineStr">
        <is>
          <t>研发费用</t>
        </is>
      </c>
      <c r="F262" s="8" t="n">
        <v>85920</v>
      </c>
    </row>
    <row r="263">
      <c r="A263" s="5" t="inlineStr">
        <is>
          <t>合并</t>
        </is>
      </c>
      <c r="B263" s="5" t="inlineStr">
        <is>
          <t>集团</t>
        </is>
      </c>
      <c r="C263" s="5" t="inlineStr">
        <is>
          <t>集团</t>
        </is>
      </c>
      <c r="D263" s="38" t="n">
        <v>2025</v>
      </c>
      <c r="E263" s="5" t="inlineStr">
        <is>
          <t>研发费用</t>
        </is>
      </c>
      <c r="F263" s="8" t="n">
        <v>126520</v>
      </c>
    </row>
    <row r="264">
      <c r="A264" s="5" t="inlineStr">
        <is>
          <t>智擎研究院</t>
        </is>
      </c>
      <c r="B264" s="5" t="inlineStr">
        <is>
          <t>集团</t>
        </is>
      </c>
      <c r="C264" s="5" t="inlineStr">
        <is>
          <t>集团</t>
        </is>
      </c>
      <c r="D264" s="38" t="n">
        <v>2025</v>
      </c>
      <c r="E264" s="5" t="inlineStr">
        <is>
          <t>销售费用</t>
        </is>
      </c>
      <c r="F264" s="8" t="n">
        <v>0</v>
      </c>
    </row>
    <row r="265">
      <c r="A265" s="5" t="inlineStr">
        <is>
          <t>合并</t>
        </is>
      </c>
      <c r="B265" s="5" t="inlineStr">
        <is>
          <t>集团</t>
        </is>
      </c>
      <c r="C265" s="5" t="inlineStr">
        <is>
          <t>集团</t>
        </is>
      </c>
      <c r="D265" s="38" t="n">
        <v>2025</v>
      </c>
      <c r="E265" s="5" t="inlineStr">
        <is>
          <t>销售费用</t>
        </is>
      </c>
      <c r="F265" s="8" t="n">
        <v>13700</v>
      </c>
    </row>
    <row r="266">
      <c r="A266" s="5" t="inlineStr">
        <is>
          <t>智擎研究院</t>
        </is>
      </c>
      <c r="B266" s="5" t="inlineStr">
        <is>
          <t>集团</t>
        </is>
      </c>
      <c r="C266" s="5" t="inlineStr">
        <is>
          <t>集团</t>
        </is>
      </c>
      <c r="D266" s="38" t="n">
        <v>2025</v>
      </c>
      <c r="E266" s="5" t="inlineStr">
        <is>
          <t>管理费用</t>
        </is>
      </c>
      <c r="F266" s="8" t="n">
        <v>1375</v>
      </c>
    </row>
    <row r="267">
      <c r="A267" s="5" t="inlineStr">
        <is>
          <t>合并</t>
        </is>
      </c>
      <c r="B267" s="5" t="inlineStr">
        <is>
          <t>集团</t>
        </is>
      </c>
      <c r="C267" s="5" t="inlineStr">
        <is>
          <t>集团</t>
        </is>
      </c>
      <c r="D267" s="38" t="n">
        <v>2025</v>
      </c>
      <c r="E267" s="5" t="inlineStr">
        <is>
          <t>管理费用</t>
        </is>
      </c>
      <c r="F267" s="8" t="n">
        <v>6325</v>
      </c>
    </row>
    <row r="268">
      <c r="A268" s="5" t="inlineStr">
        <is>
          <t>智擎云</t>
        </is>
      </c>
      <c r="B268" s="5" t="inlineStr">
        <is>
          <t>集团</t>
        </is>
      </c>
      <c r="C268" s="5" t="inlineStr">
        <is>
          <t>集团</t>
        </is>
      </c>
      <c r="D268" s="38" t="n">
        <v>2025</v>
      </c>
      <c r="E268" s="5" t="inlineStr">
        <is>
          <t>研发费用</t>
        </is>
      </c>
      <c r="F268" s="8" t="n">
        <v>22400</v>
      </c>
    </row>
    <row r="269">
      <c r="A269" s="5" t="inlineStr">
        <is>
          <t>合并</t>
        </is>
      </c>
      <c r="B269" s="5" t="inlineStr">
        <is>
          <t>集团</t>
        </is>
      </c>
      <c r="C269" s="5" t="inlineStr">
        <is>
          <t>集团</t>
        </is>
      </c>
      <c r="D269" s="38" t="n">
        <v>2025</v>
      </c>
      <c r="E269" s="5" t="inlineStr">
        <is>
          <t>研发费用</t>
        </is>
      </c>
      <c r="F269" s="8" t="n">
        <v>126520</v>
      </c>
    </row>
    <row r="270">
      <c r="A270" s="5" t="inlineStr">
        <is>
          <t>智擎云</t>
        </is>
      </c>
      <c r="B270" s="5" t="inlineStr">
        <is>
          <t>集团</t>
        </is>
      </c>
      <c r="C270" s="5" t="inlineStr">
        <is>
          <t>集团</t>
        </is>
      </c>
      <c r="D270" s="38" t="n">
        <v>2025</v>
      </c>
      <c r="E270" s="5" t="inlineStr">
        <is>
          <t>销售费用</t>
        </is>
      </c>
      <c r="F270" s="8" t="n">
        <v>5100</v>
      </c>
    </row>
    <row r="271">
      <c r="A271" s="5" t="inlineStr">
        <is>
          <t>合并</t>
        </is>
      </c>
      <c r="B271" s="5" t="inlineStr">
        <is>
          <t>集团</t>
        </is>
      </c>
      <c r="C271" s="5" t="inlineStr">
        <is>
          <t>集团</t>
        </is>
      </c>
      <c r="D271" s="38" t="n">
        <v>2025</v>
      </c>
      <c r="E271" s="5" t="inlineStr">
        <is>
          <t>销售费用</t>
        </is>
      </c>
      <c r="F271" s="8" t="n">
        <v>13700</v>
      </c>
    </row>
    <row r="272">
      <c r="A272" s="5" t="inlineStr">
        <is>
          <t>智擎云</t>
        </is>
      </c>
      <c r="B272" s="5" t="inlineStr">
        <is>
          <t>集团</t>
        </is>
      </c>
      <c r="C272" s="5" t="inlineStr">
        <is>
          <t>集团</t>
        </is>
      </c>
      <c r="D272" s="38" t="n">
        <v>2025</v>
      </c>
      <c r="E272" s="5" t="inlineStr">
        <is>
          <t>管理费用</t>
        </is>
      </c>
      <c r="F272" s="8" t="n">
        <v>2200</v>
      </c>
    </row>
    <row r="273">
      <c r="A273" s="5" t="inlineStr">
        <is>
          <t>合并</t>
        </is>
      </c>
      <c r="B273" s="5" t="inlineStr">
        <is>
          <t>集团</t>
        </is>
      </c>
      <c r="C273" s="5" t="inlineStr">
        <is>
          <t>集团</t>
        </is>
      </c>
      <c r="D273" s="38" t="n">
        <v>2025</v>
      </c>
      <c r="E273" s="5" t="inlineStr">
        <is>
          <t>管理费用</t>
        </is>
      </c>
      <c r="F273" s="8" t="n">
        <v>6325</v>
      </c>
    </row>
    <row r="274">
      <c r="A274" s="5" t="inlineStr">
        <is>
          <t>智擎行业</t>
        </is>
      </c>
      <c r="B274" s="5" t="inlineStr">
        <is>
          <t>集团</t>
        </is>
      </c>
      <c r="C274" s="5" t="inlineStr">
        <is>
          <t>集团</t>
        </is>
      </c>
      <c r="D274" s="38" t="n">
        <v>2025</v>
      </c>
      <c r="E274" s="5" t="inlineStr">
        <is>
          <t>研发费用</t>
        </is>
      </c>
      <c r="F274" s="8" t="n">
        <v>7000</v>
      </c>
    </row>
    <row r="275">
      <c r="A275" s="5" t="inlineStr">
        <is>
          <t>合并</t>
        </is>
      </c>
      <c r="B275" s="5" t="inlineStr">
        <is>
          <t>集团</t>
        </is>
      </c>
      <c r="C275" s="5" t="inlineStr">
        <is>
          <t>集团</t>
        </is>
      </c>
      <c r="D275" s="38" t="n">
        <v>2025</v>
      </c>
      <c r="E275" s="5" t="inlineStr">
        <is>
          <t>研发费用</t>
        </is>
      </c>
      <c r="F275" s="8" t="n">
        <v>126520</v>
      </c>
    </row>
    <row r="276">
      <c r="A276" s="5" t="inlineStr">
        <is>
          <t>智擎行业</t>
        </is>
      </c>
      <c r="B276" s="5" t="inlineStr">
        <is>
          <t>集团</t>
        </is>
      </c>
      <c r="C276" s="5" t="inlineStr">
        <is>
          <t>集团</t>
        </is>
      </c>
      <c r="D276" s="38" t="n">
        <v>2025</v>
      </c>
      <c r="E276" s="5" t="inlineStr">
        <is>
          <t>销售费用</t>
        </is>
      </c>
      <c r="F276" s="8" t="n">
        <v>3000</v>
      </c>
    </row>
    <row r="277">
      <c r="A277" s="5" t="inlineStr">
        <is>
          <t>合并</t>
        </is>
      </c>
      <c r="B277" s="5" t="inlineStr">
        <is>
          <t>集团</t>
        </is>
      </c>
      <c r="C277" s="5" t="inlineStr">
        <is>
          <t>集团</t>
        </is>
      </c>
      <c r="D277" s="38" t="n">
        <v>2025</v>
      </c>
      <c r="E277" s="5" t="inlineStr">
        <is>
          <t>销售费用</t>
        </is>
      </c>
      <c r="F277" s="8" t="n">
        <v>13700</v>
      </c>
    </row>
    <row r="278">
      <c r="A278" s="5" t="inlineStr">
        <is>
          <t>智擎行业</t>
        </is>
      </c>
      <c r="B278" s="5" t="inlineStr">
        <is>
          <t>集团</t>
        </is>
      </c>
      <c r="C278" s="5" t="inlineStr">
        <is>
          <t>集团</t>
        </is>
      </c>
      <c r="D278" s="38" t="n">
        <v>2025</v>
      </c>
      <c r="E278" s="5" t="inlineStr">
        <is>
          <t>管理费用</t>
        </is>
      </c>
      <c r="F278" s="8" t="n">
        <v>1650</v>
      </c>
    </row>
    <row r="279">
      <c r="A279" s="5" t="inlineStr">
        <is>
          <t>合并</t>
        </is>
      </c>
      <c r="B279" s="5" t="inlineStr">
        <is>
          <t>集团</t>
        </is>
      </c>
      <c r="C279" s="5" t="inlineStr">
        <is>
          <t>集团</t>
        </is>
      </c>
      <c r="D279" s="38" t="n">
        <v>2025</v>
      </c>
      <c r="E279" s="5" t="inlineStr">
        <is>
          <t>管理费用</t>
        </is>
      </c>
      <c r="F279" s="8" t="n">
        <v>6325</v>
      </c>
    </row>
    <row r="280">
      <c r="A280" s="5" t="inlineStr">
        <is>
          <t>智擎互联</t>
        </is>
      </c>
      <c r="B280" s="5" t="inlineStr">
        <is>
          <t>集团</t>
        </is>
      </c>
      <c r="C280" s="5" t="inlineStr">
        <is>
          <t>集团</t>
        </is>
      </c>
      <c r="D280" s="38" t="n">
        <v>2025</v>
      </c>
      <c r="E280" s="5" t="inlineStr">
        <is>
          <t>研发费用</t>
        </is>
      </c>
      <c r="F280" s="8" t="n">
        <v>11200</v>
      </c>
    </row>
    <row r="281">
      <c r="A281" s="5" t="inlineStr">
        <is>
          <t>合并</t>
        </is>
      </c>
      <c r="B281" s="5" t="inlineStr">
        <is>
          <t>集团</t>
        </is>
      </c>
      <c r="C281" s="5" t="inlineStr">
        <is>
          <t>集团</t>
        </is>
      </c>
      <c r="D281" s="38" t="n">
        <v>2025</v>
      </c>
      <c r="E281" s="5" t="inlineStr">
        <is>
          <t>研发费用</t>
        </is>
      </c>
      <c r="F281" s="8" t="n">
        <v>126520</v>
      </c>
    </row>
    <row r="282">
      <c r="A282" s="5" t="inlineStr">
        <is>
          <t>智擎互联</t>
        </is>
      </c>
      <c r="B282" s="5" t="inlineStr">
        <is>
          <t>集团</t>
        </is>
      </c>
      <c r="C282" s="5" t="inlineStr">
        <is>
          <t>集团</t>
        </is>
      </c>
      <c r="D282" s="38" t="n">
        <v>2025</v>
      </c>
      <c r="E282" s="5" t="inlineStr">
        <is>
          <t>销售费用</t>
        </is>
      </c>
      <c r="F282" s="8" t="n">
        <v>5600</v>
      </c>
    </row>
    <row r="283">
      <c r="A283" s="5" t="inlineStr">
        <is>
          <t>合并</t>
        </is>
      </c>
      <c r="B283" s="5" t="inlineStr">
        <is>
          <t>集团</t>
        </is>
      </c>
      <c r="C283" s="5" t="inlineStr">
        <is>
          <t>集团</t>
        </is>
      </c>
      <c r="D283" s="38" t="n">
        <v>2025</v>
      </c>
      <c r="E283" s="5" t="inlineStr">
        <is>
          <t>销售费用</t>
        </is>
      </c>
      <c r="F283" s="8" t="n">
        <v>13700</v>
      </c>
    </row>
    <row r="284">
      <c r="A284" s="5" t="inlineStr">
        <is>
          <t>智擎互联</t>
        </is>
      </c>
      <c r="B284" s="5" t="inlineStr">
        <is>
          <t>集团</t>
        </is>
      </c>
      <c r="C284" s="5" t="inlineStr">
        <is>
          <t>集团</t>
        </is>
      </c>
      <c r="D284" s="38" t="n">
        <v>2025</v>
      </c>
      <c r="E284" s="5" t="inlineStr">
        <is>
          <t>管理费用</t>
        </is>
      </c>
      <c r="F284" s="8" t="n">
        <v>1100</v>
      </c>
    </row>
    <row r="285">
      <c r="A285" s="5" t="inlineStr">
        <is>
          <t>合并</t>
        </is>
      </c>
      <c r="B285" s="5" t="inlineStr">
        <is>
          <t>集团</t>
        </is>
      </c>
      <c r="C285" s="5" t="inlineStr">
        <is>
          <t>集团</t>
        </is>
      </c>
      <c r="D285" s="38" t="n">
        <v>2025</v>
      </c>
      <c r="E285" s="5" t="inlineStr">
        <is>
          <t>管理费用</t>
        </is>
      </c>
      <c r="F285" s="8" t="n">
        <v>6325</v>
      </c>
    </row>
    <row r="286">
      <c r="A286" s="5" t="inlineStr">
        <is>
          <t>智擎研究院</t>
        </is>
      </c>
      <c r="B286" s="5" t="inlineStr">
        <is>
          <t>集团</t>
        </is>
      </c>
      <c r="C286" s="5" t="inlineStr">
        <is>
          <t>集团</t>
        </is>
      </c>
      <c r="D286" s="38" t="n">
        <v>2025</v>
      </c>
      <c r="E286" s="5" t="inlineStr">
        <is>
          <t>净利润</t>
        </is>
      </c>
      <c r="F286" s="8" t="n">
        <v>-68918.2</v>
      </c>
    </row>
    <row r="287">
      <c r="A287" s="5" t="inlineStr">
        <is>
          <t>智擎研究院</t>
        </is>
      </c>
      <c r="B287" s="5" t="inlineStr">
        <is>
          <t>集团</t>
        </is>
      </c>
      <c r="C287" s="5" t="inlineStr">
        <is>
          <t>集团</t>
        </is>
      </c>
      <c r="D287" s="38" t="n">
        <v>2025</v>
      </c>
      <c r="E287" s="5" t="inlineStr">
        <is>
          <t>现金</t>
        </is>
      </c>
      <c r="F287" s="8" t="n">
        <v>19351.424932</v>
      </c>
    </row>
    <row r="288">
      <c r="A288" s="5" t="inlineStr">
        <is>
          <t>智擎研究院</t>
        </is>
      </c>
      <c r="B288" s="5" t="inlineStr">
        <is>
          <t>集团</t>
        </is>
      </c>
      <c r="C288" s="5" t="inlineStr">
        <is>
          <t>集团</t>
        </is>
      </c>
      <c r="D288" s="38" t="n">
        <v>2025</v>
      </c>
      <c r="E288" s="5" t="inlineStr">
        <is>
          <t>固定资产</t>
        </is>
      </c>
      <c r="F288" s="8" t="n">
        <v>94000</v>
      </c>
    </row>
    <row r="289">
      <c r="A289" s="5" t="inlineStr">
        <is>
          <t>智擎研究院</t>
        </is>
      </c>
      <c r="B289" s="5" t="inlineStr">
        <is>
          <t>集团</t>
        </is>
      </c>
      <c r="C289" s="5" t="inlineStr">
        <is>
          <t>集团</t>
        </is>
      </c>
      <c r="D289" s="38" t="n">
        <v>2025</v>
      </c>
      <c r="E289" s="5" t="inlineStr">
        <is>
          <t>营业收入</t>
        </is>
      </c>
      <c r="F289" s="8" t="n">
        <v>18376.8</v>
      </c>
    </row>
    <row r="290">
      <c r="A290" s="5" t="inlineStr">
        <is>
          <t>智擎研究院</t>
        </is>
      </c>
      <c r="B290" s="5" t="inlineStr">
        <is>
          <t>集团</t>
        </is>
      </c>
      <c r="C290" s="5" t="inlineStr">
        <is>
          <t>集团</t>
        </is>
      </c>
      <c r="D290" s="38" t="n">
        <v>2025</v>
      </c>
      <c r="E290" s="5" t="inlineStr">
        <is>
          <t>毛利</t>
        </is>
      </c>
      <c r="F290" s="8" t="n">
        <v>18376.8</v>
      </c>
    </row>
    <row r="291">
      <c r="A291" s="5" t="inlineStr">
        <is>
          <t>智擎研究院</t>
        </is>
      </c>
      <c r="B291" s="5" t="inlineStr">
        <is>
          <t>集团</t>
        </is>
      </c>
      <c r="C291" s="5" t="inlineStr">
        <is>
          <t>集团</t>
        </is>
      </c>
      <c r="D291" s="38" t="n">
        <v>2025</v>
      </c>
      <c r="E291" s="5" t="inlineStr">
        <is>
          <t>EBITDA</t>
        </is>
      </c>
      <c r="F291" s="8" t="n">
        <v>-33918.2</v>
      </c>
    </row>
    <row r="292">
      <c r="A292" s="5" t="inlineStr">
        <is>
          <t>智擎云</t>
        </is>
      </c>
      <c r="B292" s="5" t="inlineStr">
        <is>
          <t>集团</t>
        </is>
      </c>
      <c r="C292" s="5" t="inlineStr">
        <is>
          <t>集团</t>
        </is>
      </c>
      <c r="D292" s="38" t="n">
        <v>2025</v>
      </c>
      <c r="E292" s="5" t="inlineStr">
        <is>
          <t>净利润</t>
        </is>
      </c>
      <c r="F292" s="8" t="n">
        <v>4610.5445</v>
      </c>
    </row>
    <row r="293">
      <c r="A293" s="5" t="inlineStr">
        <is>
          <t>智擎云</t>
        </is>
      </c>
      <c r="B293" s="5" t="inlineStr">
        <is>
          <t>集团</t>
        </is>
      </c>
      <c r="C293" s="5" t="inlineStr">
        <is>
          <t>集团</t>
        </is>
      </c>
      <c r="D293" s="38" t="n">
        <v>2025</v>
      </c>
      <c r="E293" s="5" t="inlineStr">
        <is>
          <t>现金</t>
        </is>
      </c>
      <c r="F293" s="8" t="n">
        <v>16449.55724</v>
      </c>
    </row>
    <row r="294">
      <c r="A294" s="5" t="inlineStr">
        <is>
          <t>智擎云</t>
        </is>
      </c>
      <c r="B294" s="5" t="inlineStr">
        <is>
          <t>集团</t>
        </is>
      </c>
      <c r="C294" s="5" t="inlineStr">
        <is>
          <t>集团</t>
        </is>
      </c>
      <c r="D294" s="38" t="n">
        <v>2025</v>
      </c>
      <c r="E294" s="5" t="inlineStr">
        <is>
          <t>固定资产</t>
        </is>
      </c>
      <c r="F294" s="8" t="n">
        <v>56000</v>
      </c>
    </row>
    <row r="295">
      <c r="A295" s="5" t="inlineStr">
        <is>
          <t>智擎云</t>
        </is>
      </c>
      <c r="B295" s="5" t="inlineStr">
        <is>
          <t>集团</t>
        </is>
      </c>
      <c r="C295" s="5" t="inlineStr">
        <is>
          <t>集团</t>
        </is>
      </c>
      <c r="D295" s="38" t="n">
        <v>2025</v>
      </c>
      <c r="E295" s="5" t="inlineStr">
        <is>
          <t>营业收入</t>
        </is>
      </c>
      <c r="F295" s="8" t="n">
        <v>84081.60000000001</v>
      </c>
    </row>
    <row r="296">
      <c r="A296" s="5" t="inlineStr">
        <is>
          <t>智擎云</t>
        </is>
      </c>
      <c r="B296" s="5" t="inlineStr">
        <is>
          <t>集团</t>
        </is>
      </c>
      <c r="C296" s="5" t="inlineStr">
        <is>
          <t>集团</t>
        </is>
      </c>
      <c r="D296" s="38" t="n">
        <v>2025</v>
      </c>
      <c r="E296" s="5" t="inlineStr">
        <is>
          <t>毛利</t>
        </is>
      </c>
      <c r="F296" s="8" t="n">
        <v>35124.17</v>
      </c>
    </row>
    <row r="297">
      <c r="A297" s="5" t="inlineStr">
        <is>
          <t>智擎云</t>
        </is>
      </c>
      <c r="B297" s="5" t="inlineStr">
        <is>
          <t>集团</t>
        </is>
      </c>
      <c r="C297" s="5" t="inlineStr">
        <is>
          <t>集团</t>
        </is>
      </c>
      <c r="D297" s="38" t="n">
        <v>2025</v>
      </c>
      <c r="E297" s="5" t="inlineStr">
        <is>
          <t>EBITDA</t>
        </is>
      </c>
      <c r="F297" s="8" t="n">
        <v>24424.17</v>
      </c>
    </row>
    <row r="298">
      <c r="A298" s="5" t="inlineStr">
        <is>
          <t>智擎行业</t>
        </is>
      </c>
      <c r="B298" s="5" t="inlineStr">
        <is>
          <t>集团</t>
        </is>
      </c>
      <c r="C298" s="5" t="inlineStr">
        <is>
          <t>集团</t>
        </is>
      </c>
      <c r="D298" s="38" t="n">
        <v>2025</v>
      </c>
      <c r="E298" s="5" t="inlineStr">
        <is>
          <t>净利润</t>
        </is>
      </c>
      <c r="F298" s="8" t="n">
        <v>-4870</v>
      </c>
    </row>
    <row r="299">
      <c r="A299" s="5" t="inlineStr">
        <is>
          <t>智擎行业</t>
        </is>
      </c>
      <c r="B299" s="5" t="inlineStr">
        <is>
          <t>集团</t>
        </is>
      </c>
      <c r="C299" s="5" t="inlineStr">
        <is>
          <t>集团</t>
        </is>
      </c>
      <c r="D299" s="38" t="n">
        <v>2025</v>
      </c>
      <c r="E299" s="5" t="inlineStr">
        <is>
          <t>现金</t>
        </is>
      </c>
      <c r="F299" s="8" t="n">
        <v>40141.712329</v>
      </c>
    </row>
    <row r="300">
      <c r="A300" s="5" t="inlineStr">
        <is>
          <t>智擎行业</t>
        </is>
      </c>
      <c r="B300" s="5" t="inlineStr">
        <is>
          <t>集团</t>
        </is>
      </c>
      <c r="C300" s="5" t="inlineStr">
        <is>
          <t>集团</t>
        </is>
      </c>
      <c r="D300" s="38" t="n">
        <v>2025</v>
      </c>
      <c r="E300" s="5" t="inlineStr">
        <is>
          <t>固定资产</t>
        </is>
      </c>
      <c r="F300" s="8" t="n">
        <v>0</v>
      </c>
    </row>
    <row r="301">
      <c r="A301" s="5" t="inlineStr">
        <is>
          <t>智擎行业</t>
        </is>
      </c>
      <c r="B301" s="5" t="inlineStr">
        <is>
          <t>集团</t>
        </is>
      </c>
      <c r="C301" s="5" t="inlineStr">
        <is>
          <t>集团</t>
        </is>
      </c>
      <c r="D301" s="38" t="n">
        <v>2025</v>
      </c>
      <c r="E301" s="5" t="inlineStr">
        <is>
          <t>营业收入</t>
        </is>
      </c>
      <c r="F301" s="8" t="n">
        <v>34010</v>
      </c>
    </row>
    <row r="302">
      <c r="A302" s="5" t="inlineStr">
        <is>
          <t>智擎行业</t>
        </is>
      </c>
      <c r="B302" s="5" t="inlineStr">
        <is>
          <t>集团</t>
        </is>
      </c>
      <c r="C302" s="5" t="inlineStr">
        <is>
          <t>集团</t>
        </is>
      </c>
      <c r="D302" s="38" t="n">
        <v>2025</v>
      </c>
      <c r="E302" s="5" t="inlineStr">
        <is>
          <t>毛利</t>
        </is>
      </c>
      <c r="F302" s="8" t="n">
        <v>6780</v>
      </c>
    </row>
    <row r="303">
      <c r="A303" s="5" t="inlineStr">
        <is>
          <t>智擎行业</t>
        </is>
      </c>
      <c r="B303" s="5" t="inlineStr">
        <is>
          <t>集团</t>
        </is>
      </c>
      <c r="C303" s="5" t="inlineStr">
        <is>
          <t>集团</t>
        </is>
      </c>
      <c r="D303" s="38" t="n">
        <v>2025</v>
      </c>
      <c r="E303" s="5" t="inlineStr">
        <is>
          <t>EBITDA</t>
        </is>
      </c>
      <c r="F303" s="8" t="n">
        <v>-4870</v>
      </c>
    </row>
    <row r="304">
      <c r="A304" s="5" t="inlineStr">
        <is>
          <t>智擎互联</t>
        </is>
      </c>
      <c r="B304" s="5" t="inlineStr">
        <is>
          <t>集团</t>
        </is>
      </c>
      <c r="C304" s="5" t="inlineStr">
        <is>
          <t>集团</t>
        </is>
      </c>
      <c r="D304" s="38" t="n">
        <v>2025</v>
      </c>
      <c r="E304" s="5" t="inlineStr">
        <is>
          <t>净利润</t>
        </is>
      </c>
      <c r="F304" s="8" t="n">
        <v>-14631.2</v>
      </c>
    </row>
    <row r="305">
      <c r="A305" s="5" t="inlineStr">
        <is>
          <t>智擎互联</t>
        </is>
      </c>
      <c r="B305" s="5" t="inlineStr">
        <is>
          <t>集团</t>
        </is>
      </c>
      <c r="C305" s="5" t="inlineStr">
        <is>
          <t>集团</t>
        </is>
      </c>
      <c r="D305" s="38" t="n">
        <v>2025</v>
      </c>
      <c r="E305" s="5" t="inlineStr">
        <is>
          <t>现金</t>
        </is>
      </c>
      <c r="F305" s="8" t="n">
        <v>6530.932603</v>
      </c>
    </row>
    <row r="306">
      <c r="A306" s="5" t="inlineStr">
        <is>
          <t>智擎互联</t>
        </is>
      </c>
      <c r="B306" s="5" t="inlineStr">
        <is>
          <t>集团</t>
        </is>
      </c>
      <c r="C306" s="5" t="inlineStr">
        <is>
          <t>集团</t>
        </is>
      </c>
      <c r="D306" s="38" t="n">
        <v>2025</v>
      </c>
      <c r="E306" s="5" t="inlineStr">
        <is>
          <t>固定资产</t>
        </is>
      </c>
      <c r="F306" s="8" t="n">
        <v>0</v>
      </c>
    </row>
    <row r="307">
      <c r="A307" s="5" t="inlineStr">
        <is>
          <t>智擎互联</t>
        </is>
      </c>
      <c r="B307" s="5" t="inlineStr">
        <is>
          <t>集团</t>
        </is>
      </c>
      <c r="C307" s="5" t="inlineStr">
        <is>
          <t>集团</t>
        </is>
      </c>
      <c r="D307" s="38" t="n">
        <v>2025</v>
      </c>
      <c r="E307" s="5" t="inlineStr">
        <is>
          <t>营业收入</t>
        </is>
      </c>
      <c r="F307" s="8" t="n">
        <v>11952</v>
      </c>
    </row>
    <row r="308">
      <c r="A308" s="5" t="inlineStr">
        <is>
          <t>智擎互联</t>
        </is>
      </c>
      <c r="B308" s="5" t="inlineStr">
        <is>
          <t>集团</t>
        </is>
      </c>
      <c r="C308" s="5" t="inlineStr">
        <is>
          <t>集团</t>
        </is>
      </c>
      <c r="D308" s="38" t="n">
        <v>2025</v>
      </c>
      <c r="E308" s="5" t="inlineStr">
        <is>
          <t>毛利</t>
        </is>
      </c>
      <c r="F308" s="8" t="n">
        <v>3268.8</v>
      </c>
    </row>
    <row r="309">
      <c r="A309" s="5" t="inlineStr">
        <is>
          <t>智擎互联</t>
        </is>
      </c>
      <c r="B309" s="5" t="inlineStr">
        <is>
          <t>集团</t>
        </is>
      </c>
      <c r="C309" s="5" t="inlineStr">
        <is>
          <t>集团</t>
        </is>
      </c>
      <c r="D309" s="38" t="n">
        <v>2025</v>
      </c>
      <c r="E309" s="5" t="inlineStr">
        <is>
          <t>EBITDA</t>
        </is>
      </c>
      <c r="F309" s="8" t="n">
        <v>-14631.2</v>
      </c>
    </row>
    <row r="310">
      <c r="A310" s="5" t="inlineStr">
        <is>
          <t>合并</t>
        </is>
      </c>
      <c r="B310" s="5" t="inlineStr">
        <is>
          <t>集团</t>
        </is>
      </c>
      <c r="C310" s="5" t="inlineStr">
        <is>
          <t>集团</t>
        </is>
      </c>
      <c r="D310" s="38" t="n">
        <v>2025</v>
      </c>
      <c r="E310" s="5" t="inlineStr">
        <is>
          <t>净利润</t>
        </is>
      </c>
      <c r="F310" s="8" t="n">
        <v>-83808.85550000001</v>
      </c>
    </row>
    <row r="311">
      <c r="A311" s="5" t="inlineStr">
        <is>
          <t>合并</t>
        </is>
      </c>
      <c r="B311" s="5" t="inlineStr">
        <is>
          <t>集团</t>
        </is>
      </c>
      <c r="C311" s="5" t="inlineStr">
        <is>
          <t>集团</t>
        </is>
      </c>
      <c r="D311" s="38" t="n">
        <v>2025</v>
      </c>
      <c r="E311" s="5" t="inlineStr">
        <is>
          <t>现金</t>
        </is>
      </c>
      <c r="F311" s="8" t="n">
        <v>82473.627104</v>
      </c>
    </row>
    <row r="312">
      <c r="A312" s="5" t="inlineStr">
        <is>
          <t>合并</t>
        </is>
      </c>
      <c r="B312" s="5" t="inlineStr">
        <is>
          <t>集团</t>
        </is>
      </c>
      <c r="C312" s="5" t="inlineStr">
        <is>
          <t>集团</t>
        </is>
      </c>
      <c r="D312" s="38" t="n">
        <v>2025</v>
      </c>
      <c r="E312" s="5" t="inlineStr">
        <is>
          <t>固定资产</t>
        </is>
      </c>
      <c r="F312" s="8" t="n">
        <v>150000</v>
      </c>
    </row>
    <row r="313">
      <c r="A313" s="5" t="inlineStr">
        <is>
          <t>合并</t>
        </is>
      </c>
      <c r="B313" s="5" t="inlineStr">
        <is>
          <t>集团</t>
        </is>
      </c>
      <c r="C313" s="5" t="inlineStr">
        <is>
          <t>集团</t>
        </is>
      </c>
      <c r="D313" s="38" t="n">
        <v>2025</v>
      </c>
      <c r="E313" s="5" t="inlineStr">
        <is>
          <t>营业收入</t>
        </is>
      </c>
      <c r="F313" s="8" t="n">
        <v>124802</v>
      </c>
    </row>
    <row r="314">
      <c r="A314" s="5" t="inlineStr">
        <is>
          <t>合并</t>
        </is>
      </c>
      <c r="B314" s="5" t="inlineStr">
        <is>
          <t>集团</t>
        </is>
      </c>
      <c r="C314" s="5" t="inlineStr">
        <is>
          <t>集团</t>
        </is>
      </c>
      <c r="D314" s="38" t="n">
        <v>2025</v>
      </c>
      <c r="E314" s="5" t="inlineStr">
        <is>
          <t>毛利</t>
        </is>
      </c>
      <c r="F314" s="8" t="n">
        <v>63549.77</v>
      </c>
    </row>
    <row r="315">
      <c r="A315" s="5" t="inlineStr">
        <is>
          <t>合并</t>
        </is>
      </c>
      <c r="B315" s="5" t="inlineStr">
        <is>
          <t>集团</t>
        </is>
      </c>
      <c r="C315" s="5" t="inlineStr">
        <is>
          <t>集团</t>
        </is>
      </c>
      <c r="D315" s="38" t="n">
        <v>2025</v>
      </c>
      <c r="E315" s="5" t="inlineStr">
        <is>
          <t>EBITDA</t>
        </is>
      </c>
      <c r="F315" s="8" t="n">
        <v>-28995.23</v>
      </c>
    </row>
    <row r="316">
      <c r="A316" s="5" t="inlineStr">
        <is>
          <t>合并</t>
        </is>
      </c>
      <c r="B316" s="5" t="inlineStr">
        <is>
          <t>MaaS API</t>
        </is>
      </c>
      <c r="C316" s="5" t="inlineStr">
        <is>
          <t>华东</t>
        </is>
      </c>
      <c r="D316" s="38" t="n">
        <v>2026</v>
      </c>
      <c r="E316" s="5" t="inlineStr">
        <is>
          <t>收入</t>
        </is>
      </c>
      <c r="F316" s="8" t="n">
        <v>31649.15</v>
      </c>
    </row>
    <row r="317">
      <c r="A317" s="5" t="inlineStr">
        <is>
          <t>智擎云</t>
        </is>
      </c>
      <c r="B317" s="5" t="inlineStr">
        <is>
          <t>MaaS API</t>
        </is>
      </c>
      <c r="C317" s="5" t="inlineStr">
        <is>
          <t>华东</t>
        </is>
      </c>
      <c r="D317" s="38" t="n">
        <v>2026</v>
      </c>
      <c r="E317" s="5" t="inlineStr">
        <is>
          <t>收入</t>
        </is>
      </c>
      <c r="F317" s="8" t="n">
        <v>31649.15</v>
      </c>
    </row>
    <row r="318">
      <c r="A318" s="5" t="inlineStr">
        <is>
          <t>合并</t>
        </is>
      </c>
      <c r="B318" s="5" t="inlineStr">
        <is>
          <t>MaaS API</t>
        </is>
      </c>
      <c r="C318" s="5" t="inlineStr">
        <is>
          <t>华北</t>
        </is>
      </c>
      <c r="D318" s="38" t="n">
        <v>2026</v>
      </c>
      <c r="E318" s="5" t="inlineStr">
        <is>
          <t>收入</t>
        </is>
      </c>
      <c r="F318" s="8" t="n">
        <v>30557.8</v>
      </c>
    </row>
    <row r="319">
      <c r="A319" s="5" t="inlineStr">
        <is>
          <t>智擎云</t>
        </is>
      </c>
      <c r="B319" s="5" t="inlineStr">
        <is>
          <t>MaaS API</t>
        </is>
      </c>
      <c r="C319" s="5" t="inlineStr">
        <is>
          <t>华北</t>
        </is>
      </c>
      <c r="D319" s="38" t="n">
        <v>2026</v>
      </c>
      <c r="E319" s="5" t="inlineStr">
        <is>
          <t>收入</t>
        </is>
      </c>
      <c r="F319" s="8" t="n">
        <v>30557.8</v>
      </c>
    </row>
    <row r="320">
      <c r="A320" s="5" t="inlineStr">
        <is>
          <t>合并</t>
        </is>
      </c>
      <c r="B320" s="5" t="inlineStr">
        <is>
          <t>MaaS API</t>
        </is>
      </c>
      <c r="C320" s="5" t="inlineStr">
        <is>
          <t>华南</t>
        </is>
      </c>
      <c r="D320" s="38" t="n">
        <v>2026</v>
      </c>
      <c r="E320" s="5" t="inlineStr">
        <is>
          <t>收入</t>
        </is>
      </c>
      <c r="F320" s="8" t="n">
        <v>21827</v>
      </c>
    </row>
    <row r="321">
      <c r="A321" s="5" t="inlineStr">
        <is>
          <t>智擎云</t>
        </is>
      </c>
      <c r="B321" s="5" t="inlineStr">
        <is>
          <t>MaaS API</t>
        </is>
      </c>
      <c r="C321" s="5" t="inlineStr">
        <is>
          <t>华南</t>
        </is>
      </c>
      <c r="D321" s="38" t="n">
        <v>2026</v>
      </c>
      <c r="E321" s="5" t="inlineStr">
        <is>
          <t>收入</t>
        </is>
      </c>
      <c r="F321" s="8" t="n">
        <v>21827</v>
      </c>
    </row>
    <row r="322">
      <c r="A322" s="5" t="inlineStr">
        <is>
          <t>合并</t>
        </is>
      </c>
      <c r="B322" s="5" t="inlineStr">
        <is>
          <t>MaaS API</t>
        </is>
      </c>
      <c r="C322" s="5" t="inlineStr">
        <is>
          <t>海外</t>
        </is>
      </c>
      <c r="D322" s="38" t="n">
        <v>2026</v>
      </c>
      <c r="E322" s="5" t="inlineStr">
        <is>
          <t>收入</t>
        </is>
      </c>
      <c r="F322" s="8" t="n">
        <v>25101.05</v>
      </c>
    </row>
    <row r="323">
      <c r="A323" s="5" t="inlineStr">
        <is>
          <t>智擎云</t>
        </is>
      </c>
      <c r="B323" s="5" t="inlineStr">
        <is>
          <t>MaaS API</t>
        </is>
      </c>
      <c r="C323" s="5" t="inlineStr">
        <is>
          <t>海外</t>
        </is>
      </c>
      <c r="D323" s="38" t="n">
        <v>2026</v>
      </c>
      <c r="E323" s="5" t="inlineStr">
        <is>
          <t>收入</t>
        </is>
      </c>
      <c r="F323" s="8" t="n">
        <v>25101.05</v>
      </c>
    </row>
    <row r="324">
      <c r="A324" s="5" t="inlineStr">
        <is>
          <t>合并</t>
        </is>
      </c>
      <c r="B324" s="5" t="inlineStr">
        <is>
          <t>私有化部署</t>
        </is>
      </c>
      <c r="C324" s="5" t="inlineStr">
        <is>
          <t>华东</t>
        </is>
      </c>
      <c r="D324" s="38" t="n">
        <v>2026</v>
      </c>
      <c r="E324" s="5" t="inlineStr">
        <is>
          <t>收入</t>
        </is>
      </c>
      <c r="F324" s="8" t="n">
        <v>12992</v>
      </c>
    </row>
    <row r="325">
      <c r="A325" s="5" t="inlineStr">
        <is>
          <t>智擎行业</t>
        </is>
      </c>
      <c r="B325" s="5" t="inlineStr">
        <is>
          <t>私有化部署</t>
        </is>
      </c>
      <c r="C325" s="5" t="inlineStr">
        <is>
          <t>华东</t>
        </is>
      </c>
      <c r="D325" s="38" t="n">
        <v>2026</v>
      </c>
      <c r="E325" s="5" t="inlineStr">
        <is>
          <t>收入</t>
        </is>
      </c>
      <c r="F325" s="8" t="n">
        <v>12992</v>
      </c>
    </row>
    <row r="326">
      <c r="A326" s="5" t="inlineStr">
        <is>
          <t>合并</t>
        </is>
      </c>
      <c r="B326" s="5" t="inlineStr">
        <is>
          <t>私有化部署</t>
        </is>
      </c>
      <c r="C326" s="5" t="inlineStr">
        <is>
          <t>华北</t>
        </is>
      </c>
      <c r="D326" s="38" t="n">
        <v>2026</v>
      </c>
      <c r="E326" s="5" t="inlineStr">
        <is>
          <t>收入</t>
        </is>
      </c>
      <c r="F326" s="8" t="n">
        <v>12544</v>
      </c>
    </row>
    <row r="327">
      <c r="A327" s="5" t="inlineStr">
        <is>
          <t>智擎行业</t>
        </is>
      </c>
      <c r="B327" s="5" t="inlineStr">
        <is>
          <t>私有化部署</t>
        </is>
      </c>
      <c r="C327" s="5" t="inlineStr">
        <is>
          <t>华北</t>
        </is>
      </c>
      <c r="D327" s="38" t="n">
        <v>2026</v>
      </c>
      <c r="E327" s="5" t="inlineStr">
        <is>
          <t>收入</t>
        </is>
      </c>
      <c r="F327" s="8" t="n">
        <v>12544</v>
      </c>
    </row>
    <row r="328">
      <c r="A328" s="5" t="inlineStr">
        <is>
          <t>合并</t>
        </is>
      </c>
      <c r="B328" s="5" t="inlineStr">
        <is>
          <t>私有化部署</t>
        </is>
      </c>
      <c r="C328" s="5" t="inlineStr">
        <is>
          <t>华南</t>
        </is>
      </c>
      <c r="D328" s="38" t="n">
        <v>2026</v>
      </c>
      <c r="E328" s="5" t="inlineStr">
        <is>
          <t>收入</t>
        </is>
      </c>
      <c r="F328" s="8" t="n">
        <v>8960</v>
      </c>
    </row>
    <row r="329">
      <c r="A329" s="5" t="inlineStr">
        <is>
          <t>智擎行业</t>
        </is>
      </c>
      <c r="B329" s="5" t="inlineStr">
        <is>
          <t>私有化部署</t>
        </is>
      </c>
      <c r="C329" s="5" t="inlineStr">
        <is>
          <t>华南</t>
        </is>
      </c>
      <c r="D329" s="38" t="n">
        <v>2026</v>
      </c>
      <c r="E329" s="5" t="inlineStr">
        <is>
          <t>收入</t>
        </is>
      </c>
      <c r="F329" s="8" t="n">
        <v>8960</v>
      </c>
    </row>
    <row r="330">
      <c r="A330" s="5" t="inlineStr">
        <is>
          <t>合并</t>
        </is>
      </c>
      <c r="B330" s="5" t="inlineStr">
        <is>
          <t>私有化部署</t>
        </is>
      </c>
      <c r="C330" s="5" t="inlineStr">
        <is>
          <t>海外</t>
        </is>
      </c>
      <c r="D330" s="38" t="n">
        <v>2026</v>
      </c>
      <c r="E330" s="5" t="inlineStr">
        <is>
          <t>收入</t>
        </is>
      </c>
      <c r="F330" s="8" t="n">
        <v>10304</v>
      </c>
    </row>
    <row r="331">
      <c r="A331" s="5" t="inlineStr">
        <is>
          <t>智擎行业</t>
        </is>
      </c>
      <c r="B331" s="5" t="inlineStr">
        <is>
          <t>私有化部署</t>
        </is>
      </c>
      <c r="C331" s="5" t="inlineStr">
        <is>
          <t>海外</t>
        </is>
      </c>
      <c r="D331" s="38" t="n">
        <v>2026</v>
      </c>
      <c r="E331" s="5" t="inlineStr">
        <is>
          <t>收入</t>
        </is>
      </c>
      <c r="F331" s="8" t="n">
        <v>10304</v>
      </c>
    </row>
    <row r="332">
      <c r="A332" s="5" t="inlineStr">
        <is>
          <t>合并</t>
        </is>
      </c>
      <c r="B332" s="5" t="inlineStr">
        <is>
          <t>行业解决方案</t>
        </is>
      </c>
      <c r="C332" s="5" t="inlineStr">
        <is>
          <t>华东</t>
        </is>
      </c>
      <c r="D332" s="38" t="n">
        <v>2026</v>
      </c>
      <c r="E332" s="5" t="inlineStr">
        <is>
          <t>收入</t>
        </is>
      </c>
      <c r="F332" s="8" t="n">
        <v>3349.5</v>
      </c>
    </row>
    <row r="333">
      <c r="A333" s="5" t="inlineStr">
        <is>
          <t>智擎行业</t>
        </is>
      </c>
      <c r="B333" s="5" t="inlineStr">
        <is>
          <t>行业解决方案</t>
        </is>
      </c>
      <c r="C333" s="5" t="inlineStr">
        <is>
          <t>华东</t>
        </is>
      </c>
      <c r="D333" s="38" t="n">
        <v>2026</v>
      </c>
      <c r="E333" s="5" t="inlineStr">
        <is>
          <t>收入</t>
        </is>
      </c>
      <c r="F333" s="8" t="n">
        <v>3349.5</v>
      </c>
    </row>
    <row r="334">
      <c r="A334" s="5" t="inlineStr">
        <is>
          <t>合并</t>
        </is>
      </c>
      <c r="B334" s="5" t="inlineStr">
        <is>
          <t>行业解决方案</t>
        </is>
      </c>
      <c r="C334" s="5" t="inlineStr">
        <is>
          <t>华北</t>
        </is>
      </c>
      <c r="D334" s="38" t="n">
        <v>2026</v>
      </c>
      <c r="E334" s="5" t="inlineStr">
        <is>
          <t>收入</t>
        </is>
      </c>
      <c r="F334" s="8" t="n">
        <v>3234</v>
      </c>
    </row>
    <row r="335">
      <c r="A335" s="5" t="inlineStr">
        <is>
          <t>智擎行业</t>
        </is>
      </c>
      <c r="B335" s="5" t="inlineStr">
        <is>
          <t>行业解决方案</t>
        </is>
      </c>
      <c r="C335" s="5" t="inlineStr">
        <is>
          <t>华北</t>
        </is>
      </c>
      <c r="D335" s="38" t="n">
        <v>2026</v>
      </c>
      <c r="E335" s="5" t="inlineStr">
        <is>
          <t>收入</t>
        </is>
      </c>
      <c r="F335" s="8" t="n">
        <v>3234</v>
      </c>
    </row>
    <row r="336">
      <c r="A336" s="5" t="inlineStr">
        <is>
          <t>合并</t>
        </is>
      </c>
      <c r="B336" s="5" t="inlineStr">
        <is>
          <t>行业解决方案</t>
        </is>
      </c>
      <c r="C336" s="5" t="inlineStr">
        <is>
          <t>华南</t>
        </is>
      </c>
      <c r="D336" s="38" t="n">
        <v>2026</v>
      </c>
      <c r="E336" s="5" t="inlineStr">
        <is>
          <t>收入</t>
        </is>
      </c>
      <c r="F336" s="8" t="n">
        <v>2310</v>
      </c>
    </row>
    <row r="337">
      <c r="A337" s="5" t="inlineStr">
        <is>
          <t>智擎行业</t>
        </is>
      </c>
      <c r="B337" s="5" t="inlineStr">
        <is>
          <t>行业解决方案</t>
        </is>
      </c>
      <c r="C337" s="5" t="inlineStr">
        <is>
          <t>华南</t>
        </is>
      </c>
      <c r="D337" s="38" t="n">
        <v>2026</v>
      </c>
      <c r="E337" s="5" t="inlineStr">
        <is>
          <t>收入</t>
        </is>
      </c>
      <c r="F337" s="8" t="n">
        <v>2310</v>
      </c>
    </row>
    <row r="338">
      <c r="A338" s="5" t="inlineStr">
        <is>
          <t>合并</t>
        </is>
      </c>
      <c r="B338" s="5" t="inlineStr">
        <is>
          <t>行业解决方案</t>
        </is>
      </c>
      <c r="C338" s="5" t="inlineStr">
        <is>
          <t>海外</t>
        </is>
      </c>
      <c r="D338" s="38" t="n">
        <v>2026</v>
      </c>
      <c r="E338" s="5" t="inlineStr">
        <is>
          <t>收入</t>
        </is>
      </c>
      <c r="F338" s="8" t="n">
        <v>2656.5</v>
      </c>
    </row>
    <row r="339">
      <c r="A339" s="5" t="inlineStr">
        <is>
          <t>智擎行业</t>
        </is>
      </c>
      <c r="B339" s="5" t="inlineStr">
        <is>
          <t>行业解决方案</t>
        </is>
      </c>
      <c r="C339" s="5" t="inlineStr">
        <is>
          <t>海外</t>
        </is>
      </c>
      <c r="D339" s="38" t="n">
        <v>2026</v>
      </c>
      <c r="E339" s="5" t="inlineStr">
        <is>
          <t>收入</t>
        </is>
      </c>
      <c r="F339" s="8" t="n">
        <v>2656.5</v>
      </c>
    </row>
    <row r="340">
      <c r="A340" s="5" t="inlineStr">
        <is>
          <t>合并</t>
        </is>
      </c>
      <c r="B340" s="5" t="inlineStr">
        <is>
          <t>C端订阅</t>
        </is>
      </c>
      <c r="C340" s="5" t="inlineStr">
        <is>
          <t>华东</t>
        </is>
      </c>
      <c r="D340" s="38" t="n">
        <v>2026</v>
      </c>
      <c r="E340" s="5" t="inlineStr">
        <is>
          <t>收入</t>
        </is>
      </c>
      <c r="F340" s="8" t="n">
        <v>5261.76</v>
      </c>
    </row>
    <row r="341">
      <c r="A341" s="5" t="inlineStr">
        <is>
          <t>智擎互联</t>
        </is>
      </c>
      <c r="B341" s="5" t="inlineStr">
        <is>
          <t>C端订阅</t>
        </is>
      </c>
      <c r="C341" s="5" t="inlineStr">
        <is>
          <t>华东</t>
        </is>
      </c>
      <c r="D341" s="38" t="n">
        <v>2026</v>
      </c>
      <c r="E341" s="5" t="inlineStr">
        <is>
          <t>收入</t>
        </is>
      </c>
      <c r="F341" s="8" t="n">
        <v>5261.76</v>
      </c>
    </row>
    <row r="342">
      <c r="A342" s="5" t="inlineStr">
        <is>
          <t>合并</t>
        </is>
      </c>
      <c r="B342" s="5" t="inlineStr">
        <is>
          <t>C端订阅</t>
        </is>
      </c>
      <c r="C342" s="5" t="inlineStr">
        <is>
          <t>华北</t>
        </is>
      </c>
      <c r="D342" s="38" t="n">
        <v>2026</v>
      </c>
      <c r="E342" s="5" t="inlineStr">
        <is>
          <t>收入</t>
        </is>
      </c>
      <c r="F342" s="8" t="n">
        <v>5080.32</v>
      </c>
    </row>
    <row r="343">
      <c r="A343" s="5" t="inlineStr">
        <is>
          <t>智擎互联</t>
        </is>
      </c>
      <c r="B343" s="5" t="inlineStr">
        <is>
          <t>C端订阅</t>
        </is>
      </c>
      <c r="C343" s="5" t="inlineStr">
        <is>
          <t>华北</t>
        </is>
      </c>
      <c r="D343" s="38" t="n">
        <v>2026</v>
      </c>
      <c r="E343" s="5" t="inlineStr">
        <is>
          <t>收入</t>
        </is>
      </c>
      <c r="F343" s="8" t="n">
        <v>5080.32</v>
      </c>
    </row>
    <row r="344">
      <c r="A344" s="5" t="inlineStr">
        <is>
          <t>合并</t>
        </is>
      </c>
      <c r="B344" s="5" t="inlineStr">
        <is>
          <t>C端订阅</t>
        </is>
      </c>
      <c r="C344" s="5" t="inlineStr">
        <is>
          <t>华南</t>
        </is>
      </c>
      <c r="D344" s="38" t="n">
        <v>2026</v>
      </c>
      <c r="E344" s="5" t="inlineStr">
        <is>
          <t>收入</t>
        </is>
      </c>
      <c r="F344" s="8" t="n">
        <v>3628.8</v>
      </c>
    </row>
    <row r="345">
      <c r="A345" s="5" t="inlineStr">
        <is>
          <t>智擎互联</t>
        </is>
      </c>
      <c r="B345" s="5" t="inlineStr">
        <is>
          <t>C端订阅</t>
        </is>
      </c>
      <c r="C345" s="5" t="inlineStr">
        <is>
          <t>华南</t>
        </is>
      </c>
      <c r="D345" s="38" t="n">
        <v>2026</v>
      </c>
      <c r="E345" s="5" t="inlineStr">
        <is>
          <t>收入</t>
        </is>
      </c>
      <c r="F345" s="8" t="n">
        <v>3628.8</v>
      </c>
    </row>
    <row r="346">
      <c r="A346" s="5" t="inlineStr">
        <is>
          <t>合并</t>
        </is>
      </c>
      <c r="B346" s="5" t="inlineStr">
        <is>
          <t>C端订阅</t>
        </is>
      </c>
      <c r="C346" s="5" t="inlineStr">
        <is>
          <t>海外</t>
        </is>
      </c>
      <c r="D346" s="38" t="n">
        <v>2026</v>
      </c>
      <c r="E346" s="5" t="inlineStr">
        <is>
          <t>收入</t>
        </is>
      </c>
      <c r="F346" s="8" t="n">
        <v>4173.12</v>
      </c>
    </row>
    <row r="347">
      <c r="A347" s="5" t="inlineStr">
        <is>
          <t>智擎互联</t>
        </is>
      </c>
      <c r="B347" s="5" t="inlineStr">
        <is>
          <t>C端订阅</t>
        </is>
      </c>
      <c r="C347" s="5" t="inlineStr">
        <is>
          <t>海外</t>
        </is>
      </c>
      <c r="D347" s="38" t="n">
        <v>2026</v>
      </c>
      <c r="E347" s="5" t="inlineStr">
        <is>
          <t>收入</t>
        </is>
      </c>
      <c r="F347" s="8" t="n">
        <v>4173.12</v>
      </c>
    </row>
    <row r="348">
      <c r="A348" s="5" t="inlineStr">
        <is>
          <t>合并</t>
        </is>
      </c>
      <c r="B348" s="5" t="inlineStr">
        <is>
          <t>广告及其他</t>
        </is>
      </c>
      <c r="C348" s="5" t="inlineStr">
        <is>
          <t>华东</t>
        </is>
      </c>
      <c r="D348" s="38" t="n">
        <v>2026</v>
      </c>
      <c r="E348" s="5" t="inlineStr">
        <is>
          <t>收入</t>
        </is>
      </c>
      <c r="F348" s="8" t="n">
        <v>464</v>
      </c>
    </row>
    <row r="349">
      <c r="A349" s="5" t="inlineStr">
        <is>
          <t>智擎互联</t>
        </is>
      </c>
      <c r="B349" s="5" t="inlineStr">
        <is>
          <t>广告及其他</t>
        </is>
      </c>
      <c r="C349" s="5" t="inlineStr">
        <is>
          <t>华东</t>
        </is>
      </c>
      <c r="D349" s="38" t="n">
        <v>2026</v>
      </c>
      <c r="E349" s="5" t="inlineStr">
        <is>
          <t>收入</t>
        </is>
      </c>
      <c r="F349" s="8" t="n">
        <v>464</v>
      </c>
    </row>
    <row r="350">
      <c r="A350" s="5" t="inlineStr">
        <is>
          <t>合并</t>
        </is>
      </c>
      <c r="B350" s="5" t="inlineStr">
        <is>
          <t>广告及其他</t>
        </is>
      </c>
      <c r="C350" s="5" t="inlineStr">
        <is>
          <t>华北</t>
        </is>
      </c>
      <c r="D350" s="38" t="n">
        <v>2026</v>
      </c>
      <c r="E350" s="5" t="inlineStr">
        <is>
          <t>收入</t>
        </is>
      </c>
      <c r="F350" s="8" t="n">
        <v>448</v>
      </c>
    </row>
    <row r="351">
      <c r="A351" s="5" t="inlineStr">
        <is>
          <t>智擎互联</t>
        </is>
      </c>
      <c r="B351" s="5" t="inlineStr">
        <is>
          <t>广告及其他</t>
        </is>
      </c>
      <c r="C351" s="5" t="inlineStr">
        <is>
          <t>华北</t>
        </is>
      </c>
      <c r="D351" s="38" t="n">
        <v>2026</v>
      </c>
      <c r="E351" s="5" t="inlineStr">
        <is>
          <t>收入</t>
        </is>
      </c>
      <c r="F351" s="8" t="n">
        <v>448</v>
      </c>
    </row>
    <row r="352">
      <c r="A352" s="5" t="inlineStr">
        <is>
          <t>合并</t>
        </is>
      </c>
      <c r="B352" s="5" t="inlineStr">
        <is>
          <t>广告及其他</t>
        </is>
      </c>
      <c r="C352" s="5" t="inlineStr">
        <is>
          <t>华南</t>
        </is>
      </c>
      <c r="D352" s="38" t="n">
        <v>2026</v>
      </c>
      <c r="E352" s="5" t="inlineStr">
        <is>
          <t>收入</t>
        </is>
      </c>
      <c r="F352" s="8" t="n">
        <v>320</v>
      </c>
    </row>
    <row r="353">
      <c r="A353" s="5" t="inlineStr">
        <is>
          <t>智擎互联</t>
        </is>
      </c>
      <c r="B353" s="5" t="inlineStr">
        <is>
          <t>广告及其他</t>
        </is>
      </c>
      <c r="C353" s="5" t="inlineStr">
        <is>
          <t>华南</t>
        </is>
      </c>
      <c r="D353" s="38" t="n">
        <v>2026</v>
      </c>
      <c r="E353" s="5" t="inlineStr">
        <is>
          <t>收入</t>
        </is>
      </c>
      <c r="F353" s="8" t="n">
        <v>320</v>
      </c>
    </row>
    <row r="354">
      <c r="A354" s="5" t="inlineStr">
        <is>
          <t>合并</t>
        </is>
      </c>
      <c r="B354" s="5" t="inlineStr">
        <is>
          <t>广告及其他</t>
        </is>
      </c>
      <c r="C354" s="5" t="inlineStr">
        <is>
          <t>海外</t>
        </is>
      </c>
      <c r="D354" s="38" t="n">
        <v>2026</v>
      </c>
      <c r="E354" s="5" t="inlineStr">
        <is>
          <t>收入</t>
        </is>
      </c>
      <c r="F354" s="8" t="n">
        <v>368</v>
      </c>
    </row>
    <row r="355">
      <c r="A355" s="5" t="inlineStr">
        <is>
          <t>智擎互联</t>
        </is>
      </c>
      <c r="B355" s="5" t="inlineStr">
        <is>
          <t>广告及其他</t>
        </is>
      </c>
      <c r="C355" s="5" t="inlineStr">
        <is>
          <t>海外</t>
        </is>
      </c>
      <c r="D355" s="38" t="n">
        <v>2026</v>
      </c>
      <c r="E355" s="5" t="inlineStr">
        <is>
          <t>收入</t>
        </is>
      </c>
      <c r="F355" s="8" t="n">
        <v>368</v>
      </c>
    </row>
    <row r="356">
      <c r="A356" s="5" t="inlineStr">
        <is>
          <t>智擎云</t>
        </is>
      </c>
      <c r="B356" s="5" t="inlineStr">
        <is>
          <t>MaaS API</t>
        </is>
      </c>
      <c r="C356" s="5" t="inlineStr">
        <is>
          <t>集团</t>
        </is>
      </c>
      <c r="D356" s="38" t="n">
        <v>2026</v>
      </c>
      <c r="E356" s="5" t="inlineStr">
        <is>
          <t>成本</t>
        </is>
      </c>
      <c r="F356" s="8" t="n">
        <v>43007</v>
      </c>
    </row>
    <row r="357">
      <c r="A357" s="5" t="inlineStr">
        <is>
          <t>合并</t>
        </is>
      </c>
      <c r="B357" s="5" t="inlineStr">
        <is>
          <t>MaaS API</t>
        </is>
      </c>
      <c r="C357" s="5" t="inlineStr">
        <is>
          <t>集团</t>
        </is>
      </c>
      <c r="D357" s="38" t="n">
        <v>2026</v>
      </c>
      <c r="E357" s="5" t="inlineStr">
        <is>
          <t>成本</t>
        </is>
      </c>
      <c r="F357" s="8" t="n">
        <v>43007</v>
      </c>
    </row>
    <row r="358">
      <c r="A358" s="5" t="inlineStr">
        <is>
          <t>智擎行业</t>
        </is>
      </c>
      <c r="B358" s="5" t="inlineStr">
        <is>
          <t>私有化部署</t>
        </is>
      </c>
      <c r="C358" s="5" t="inlineStr">
        <is>
          <t>集团</t>
        </is>
      </c>
      <c r="D358" s="38" t="n">
        <v>2026</v>
      </c>
      <c r="E358" s="5" t="inlineStr">
        <is>
          <t>成本</t>
        </is>
      </c>
      <c r="F358" s="8" t="n">
        <v>27328</v>
      </c>
    </row>
    <row r="359">
      <c r="A359" s="5" t="inlineStr">
        <is>
          <t>合并</t>
        </is>
      </c>
      <c r="B359" s="5" t="inlineStr">
        <is>
          <t>私有化部署</t>
        </is>
      </c>
      <c r="C359" s="5" t="inlineStr">
        <is>
          <t>集团</t>
        </is>
      </c>
      <c r="D359" s="38" t="n">
        <v>2026</v>
      </c>
      <c r="E359" s="5" t="inlineStr">
        <is>
          <t>成本</t>
        </is>
      </c>
      <c r="F359" s="8" t="n">
        <v>27328</v>
      </c>
    </row>
    <row r="360">
      <c r="A360" s="5" t="inlineStr">
        <is>
          <t>智擎行业</t>
        </is>
      </c>
      <c r="B360" s="5" t="inlineStr">
        <is>
          <t>行业解决方案</t>
        </is>
      </c>
      <c r="C360" s="5" t="inlineStr">
        <is>
          <t>集团</t>
        </is>
      </c>
      <c r="D360" s="38" t="n">
        <v>2026</v>
      </c>
      <c r="E360" s="5" t="inlineStr">
        <is>
          <t>成本</t>
        </is>
      </c>
      <c r="F360" s="8" t="n">
        <v>4851</v>
      </c>
    </row>
    <row r="361">
      <c r="A361" s="5" t="inlineStr">
        <is>
          <t>合并</t>
        </is>
      </c>
      <c r="B361" s="5" t="inlineStr">
        <is>
          <t>行业解决方案</t>
        </is>
      </c>
      <c r="C361" s="5" t="inlineStr">
        <is>
          <t>集团</t>
        </is>
      </c>
      <c r="D361" s="38" t="n">
        <v>2026</v>
      </c>
      <c r="E361" s="5" t="inlineStr">
        <is>
          <t>成本</t>
        </is>
      </c>
      <c r="F361" s="8" t="n">
        <v>4851</v>
      </c>
    </row>
    <row r="362">
      <c r="A362" s="5" t="inlineStr">
        <is>
          <t>智擎互联</t>
        </is>
      </c>
      <c r="B362" s="5" t="inlineStr">
        <is>
          <t>C端订阅</t>
        </is>
      </c>
      <c r="C362" s="5" t="inlineStr">
        <is>
          <t>集团</t>
        </is>
      </c>
      <c r="D362" s="38" t="n">
        <v>2026</v>
      </c>
      <c r="E362" s="5" t="inlineStr">
        <is>
          <t>成本</t>
        </is>
      </c>
      <c r="F362" s="8" t="n">
        <v>11970</v>
      </c>
    </row>
    <row r="363">
      <c r="A363" s="5" t="inlineStr">
        <is>
          <t>合并</t>
        </is>
      </c>
      <c r="B363" s="5" t="inlineStr">
        <is>
          <t>C端订阅</t>
        </is>
      </c>
      <c r="C363" s="5" t="inlineStr">
        <is>
          <t>集团</t>
        </is>
      </c>
      <c r="D363" s="38" t="n">
        <v>2026</v>
      </c>
      <c r="E363" s="5" t="inlineStr">
        <is>
          <t>成本</t>
        </is>
      </c>
      <c r="F363" s="8" t="n">
        <v>11970</v>
      </c>
    </row>
    <row r="364">
      <c r="A364" s="5" t="inlineStr">
        <is>
          <t>智擎互联</t>
        </is>
      </c>
      <c r="B364" s="5" t="inlineStr">
        <is>
          <t>广告及其他</t>
        </is>
      </c>
      <c r="C364" s="5" t="inlineStr">
        <is>
          <t>集团</t>
        </is>
      </c>
      <c r="D364" s="38" t="n">
        <v>2026</v>
      </c>
      <c r="E364" s="5" t="inlineStr">
        <is>
          <t>成本</t>
        </is>
      </c>
      <c r="F364" s="8" t="n">
        <v>0</v>
      </c>
    </row>
    <row r="365">
      <c r="A365" s="5" t="inlineStr">
        <is>
          <t>合并</t>
        </is>
      </c>
      <c r="B365" s="5" t="inlineStr">
        <is>
          <t>广告及其他</t>
        </is>
      </c>
      <c r="C365" s="5" t="inlineStr">
        <is>
          <t>集团</t>
        </is>
      </c>
      <c r="D365" s="38" t="n">
        <v>2026</v>
      </c>
      <c r="E365" s="5" t="inlineStr">
        <is>
          <t>成本</t>
        </is>
      </c>
      <c r="F365" s="8" t="n">
        <v>0</v>
      </c>
    </row>
    <row r="366">
      <c r="A366" s="5" t="inlineStr">
        <is>
          <t>智擎研究院</t>
        </is>
      </c>
      <c r="B366" s="5" t="inlineStr">
        <is>
          <t>集团</t>
        </is>
      </c>
      <c r="C366" s="5" t="inlineStr">
        <is>
          <t>集团</t>
        </is>
      </c>
      <c r="D366" s="38" t="n">
        <v>2026</v>
      </c>
      <c r="E366" s="5" t="inlineStr">
        <is>
          <t>研发费用</t>
        </is>
      </c>
      <c r="F366" s="8" t="n">
        <v>80050</v>
      </c>
    </row>
    <row r="367">
      <c r="A367" s="5" t="inlineStr">
        <is>
          <t>合并</t>
        </is>
      </c>
      <c r="B367" s="5" t="inlineStr">
        <is>
          <t>集团</t>
        </is>
      </c>
      <c r="C367" s="5" t="inlineStr">
        <is>
          <t>集团</t>
        </is>
      </c>
      <c r="D367" s="38" t="n">
        <v>2026</v>
      </c>
      <c r="E367" s="5" t="inlineStr">
        <is>
          <t>研发费用</t>
        </is>
      </c>
      <c r="F367" s="8" t="n">
        <v>131150</v>
      </c>
    </row>
    <row r="368">
      <c r="A368" s="5" t="inlineStr">
        <is>
          <t>智擎研究院</t>
        </is>
      </c>
      <c r="B368" s="5" t="inlineStr">
        <is>
          <t>集团</t>
        </is>
      </c>
      <c r="C368" s="5" t="inlineStr">
        <is>
          <t>集团</t>
        </is>
      </c>
      <c r="D368" s="38" t="n">
        <v>2026</v>
      </c>
      <c r="E368" s="5" t="inlineStr">
        <is>
          <t>销售费用</t>
        </is>
      </c>
      <c r="F368" s="8" t="n">
        <v>0</v>
      </c>
    </row>
    <row r="369">
      <c r="A369" s="5" t="inlineStr">
        <is>
          <t>合并</t>
        </is>
      </c>
      <c r="B369" s="5" t="inlineStr">
        <is>
          <t>集团</t>
        </is>
      </c>
      <c r="C369" s="5" t="inlineStr">
        <is>
          <t>集团</t>
        </is>
      </c>
      <c r="D369" s="38" t="n">
        <v>2026</v>
      </c>
      <c r="E369" s="5" t="inlineStr">
        <is>
          <t>销售费用</t>
        </is>
      </c>
      <c r="F369" s="8" t="n">
        <v>17125</v>
      </c>
    </row>
    <row r="370">
      <c r="A370" s="5" t="inlineStr">
        <is>
          <t>智擎研究院</t>
        </is>
      </c>
      <c r="B370" s="5" t="inlineStr">
        <is>
          <t>集团</t>
        </is>
      </c>
      <c r="C370" s="5" t="inlineStr">
        <is>
          <t>集团</t>
        </is>
      </c>
      <c r="D370" s="38" t="n">
        <v>2026</v>
      </c>
      <c r="E370" s="5" t="inlineStr">
        <is>
          <t>管理费用</t>
        </is>
      </c>
      <c r="F370" s="8" t="n">
        <v>1540</v>
      </c>
    </row>
    <row r="371">
      <c r="A371" s="5" t="inlineStr">
        <is>
          <t>合并</t>
        </is>
      </c>
      <c r="B371" s="5" t="inlineStr">
        <is>
          <t>集团</t>
        </is>
      </c>
      <c r="C371" s="5" t="inlineStr">
        <is>
          <t>集团</t>
        </is>
      </c>
      <c r="D371" s="38" t="n">
        <v>2026</v>
      </c>
      <c r="E371" s="5" t="inlineStr">
        <is>
          <t>管理费用</t>
        </is>
      </c>
      <c r="F371" s="8" t="n">
        <v>7755</v>
      </c>
    </row>
    <row r="372">
      <c r="A372" s="5" t="inlineStr">
        <is>
          <t>智擎云</t>
        </is>
      </c>
      <c r="B372" s="5" t="inlineStr">
        <is>
          <t>集团</t>
        </is>
      </c>
      <c r="C372" s="5" t="inlineStr">
        <is>
          <t>集团</t>
        </is>
      </c>
      <c r="D372" s="38" t="n">
        <v>2026</v>
      </c>
      <c r="E372" s="5" t="inlineStr">
        <is>
          <t>研发费用</t>
        </is>
      </c>
      <c r="F372" s="8" t="n">
        <v>28000</v>
      </c>
    </row>
    <row r="373">
      <c r="A373" s="5" t="inlineStr">
        <is>
          <t>合并</t>
        </is>
      </c>
      <c r="B373" s="5" t="inlineStr">
        <is>
          <t>集团</t>
        </is>
      </c>
      <c r="C373" s="5" t="inlineStr">
        <is>
          <t>集团</t>
        </is>
      </c>
      <c r="D373" s="38" t="n">
        <v>2026</v>
      </c>
      <c r="E373" s="5" t="inlineStr">
        <is>
          <t>研发费用</t>
        </is>
      </c>
      <c r="F373" s="8" t="n">
        <v>131150</v>
      </c>
    </row>
    <row r="374">
      <c r="A374" s="5" t="inlineStr">
        <is>
          <t>智擎云</t>
        </is>
      </c>
      <c r="B374" s="5" t="inlineStr">
        <is>
          <t>集团</t>
        </is>
      </c>
      <c r="C374" s="5" t="inlineStr">
        <is>
          <t>集团</t>
        </is>
      </c>
      <c r="D374" s="38" t="n">
        <v>2026</v>
      </c>
      <c r="E374" s="5" t="inlineStr">
        <is>
          <t>销售费用</t>
        </is>
      </c>
      <c r="F374" s="8" t="n">
        <v>6600</v>
      </c>
    </row>
    <row r="375">
      <c r="A375" s="5" t="inlineStr">
        <is>
          <t>合并</t>
        </is>
      </c>
      <c r="B375" s="5" t="inlineStr">
        <is>
          <t>集团</t>
        </is>
      </c>
      <c r="C375" s="5" t="inlineStr">
        <is>
          <t>集团</t>
        </is>
      </c>
      <c r="D375" s="38" t="n">
        <v>2026</v>
      </c>
      <c r="E375" s="5" t="inlineStr">
        <is>
          <t>销售费用</t>
        </is>
      </c>
      <c r="F375" s="8" t="n">
        <v>17125</v>
      </c>
    </row>
    <row r="376">
      <c r="A376" s="5" t="inlineStr">
        <is>
          <t>智擎云</t>
        </is>
      </c>
      <c r="B376" s="5" t="inlineStr">
        <is>
          <t>集团</t>
        </is>
      </c>
      <c r="C376" s="5" t="inlineStr">
        <is>
          <t>集团</t>
        </is>
      </c>
      <c r="D376" s="38" t="n">
        <v>2026</v>
      </c>
      <c r="E376" s="5" t="inlineStr">
        <is>
          <t>管理费用</t>
        </is>
      </c>
      <c r="F376" s="8" t="n">
        <v>2750</v>
      </c>
    </row>
    <row r="377">
      <c r="A377" s="5" t="inlineStr">
        <is>
          <t>合并</t>
        </is>
      </c>
      <c r="B377" s="5" t="inlineStr">
        <is>
          <t>集团</t>
        </is>
      </c>
      <c r="C377" s="5" t="inlineStr">
        <is>
          <t>集团</t>
        </is>
      </c>
      <c r="D377" s="38" t="n">
        <v>2026</v>
      </c>
      <c r="E377" s="5" t="inlineStr">
        <is>
          <t>管理费用</t>
        </is>
      </c>
      <c r="F377" s="8" t="n">
        <v>7755</v>
      </c>
    </row>
    <row r="378">
      <c r="A378" s="5" t="inlineStr">
        <is>
          <t>智擎行业</t>
        </is>
      </c>
      <c r="B378" s="5" t="inlineStr">
        <is>
          <t>集团</t>
        </is>
      </c>
      <c r="C378" s="5" t="inlineStr">
        <is>
          <t>集团</t>
        </is>
      </c>
      <c r="D378" s="38" t="n">
        <v>2026</v>
      </c>
      <c r="E378" s="5" t="inlineStr">
        <is>
          <t>研发费用</t>
        </is>
      </c>
      <c r="F378" s="8" t="n">
        <v>9100</v>
      </c>
    </row>
    <row r="379">
      <c r="A379" s="5" t="inlineStr">
        <is>
          <t>合并</t>
        </is>
      </c>
      <c r="B379" s="5" t="inlineStr">
        <is>
          <t>集团</t>
        </is>
      </c>
      <c r="C379" s="5" t="inlineStr">
        <is>
          <t>集团</t>
        </is>
      </c>
      <c r="D379" s="38" t="n">
        <v>2026</v>
      </c>
      <c r="E379" s="5" t="inlineStr">
        <is>
          <t>研发费用</t>
        </is>
      </c>
      <c r="F379" s="8" t="n">
        <v>131150</v>
      </c>
    </row>
    <row r="380">
      <c r="A380" s="5" t="inlineStr">
        <is>
          <t>智擎行业</t>
        </is>
      </c>
      <c r="B380" s="5" t="inlineStr">
        <is>
          <t>集团</t>
        </is>
      </c>
      <c r="C380" s="5" t="inlineStr">
        <is>
          <t>集团</t>
        </is>
      </c>
      <c r="D380" s="38" t="n">
        <v>2026</v>
      </c>
      <c r="E380" s="5" t="inlineStr">
        <is>
          <t>销售费用</t>
        </is>
      </c>
      <c r="F380" s="8" t="n">
        <v>3900</v>
      </c>
    </row>
    <row r="381">
      <c r="A381" s="5" t="inlineStr">
        <is>
          <t>合并</t>
        </is>
      </c>
      <c r="B381" s="5" t="inlineStr">
        <is>
          <t>集团</t>
        </is>
      </c>
      <c r="C381" s="5" t="inlineStr">
        <is>
          <t>集团</t>
        </is>
      </c>
      <c r="D381" s="38" t="n">
        <v>2026</v>
      </c>
      <c r="E381" s="5" t="inlineStr">
        <is>
          <t>销售费用</t>
        </is>
      </c>
      <c r="F381" s="8" t="n">
        <v>17125</v>
      </c>
    </row>
    <row r="382">
      <c r="A382" s="5" t="inlineStr">
        <is>
          <t>智擎行业</t>
        </is>
      </c>
      <c r="B382" s="5" t="inlineStr">
        <is>
          <t>集团</t>
        </is>
      </c>
      <c r="C382" s="5" t="inlineStr">
        <is>
          <t>集团</t>
        </is>
      </c>
      <c r="D382" s="38" t="n">
        <v>2026</v>
      </c>
      <c r="E382" s="5" t="inlineStr">
        <is>
          <t>管理费用</t>
        </is>
      </c>
      <c r="F382" s="8" t="n">
        <v>2090</v>
      </c>
    </row>
    <row r="383">
      <c r="A383" s="5" t="inlineStr">
        <is>
          <t>合并</t>
        </is>
      </c>
      <c r="B383" s="5" t="inlineStr">
        <is>
          <t>集团</t>
        </is>
      </c>
      <c r="C383" s="5" t="inlineStr">
        <is>
          <t>集团</t>
        </is>
      </c>
      <c r="D383" s="38" t="n">
        <v>2026</v>
      </c>
      <c r="E383" s="5" t="inlineStr">
        <is>
          <t>管理费用</t>
        </is>
      </c>
      <c r="F383" s="8" t="n">
        <v>7755</v>
      </c>
    </row>
    <row r="384">
      <c r="A384" s="5" t="inlineStr">
        <is>
          <t>智擎互联</t>
        </is>
      </c>
      <c r="B384" s="5" t="inlineStr">
        <is>
          <t>集团</t>
        </is>
      </c>
      <c r="C384" s="5" t="inlineStr">
        <is>
          <t>集团</t>
        </is>
      </c>
      <c r="D384" s="38" t="n">
        <v>2026</v>
      </c>
      <c r="E384" s="5" t="inlineStr">
        <is>
          <t>研发费用</t>
        </is>
      </c>
      <c r="F384" s="8" t="n">
        <v>14000</v>
      </c>
    </row>
    <row r="385">
      <c r="A385" s="5" t="inlineStr">
        <is>
          <t>合并</t>
        </is>
      </c>
      <c r="B385" s="5" t="inlineStr">
        <is>
          <t>集团</t>
        </is>
      </c>
      <c r="C385" s="5" t="inlineStr">
        <is>
          <t>集团</t>
        </is>
      </c>
      <c r="D385" s="38" t="n">
        <v>2026</v>
      </c>
      <c r="E385" s="5" t="inlineStr">
        <is>
          <t>研发费用</t>
        </is>
      </c>
      <c r="F385" s="8" t="n">
        <v>131150</v>
      </c>
    </row>
    <row r="386">
      <c r="A386" s="5" t="inlineStr">
        <is>
          <t>智擎互联</t>
        </is>
      </c>
      <c r="B386" s="5" t="inlineStr">
        <is>
          <t>集团</t>
        </is>
      </c>
      <c r="C386" s="5" t="inlineStr">
        <is>
          <t>集团</t>
        </is>
      </c>
      <c r="D386" s="38" t="n">
        <v>2026</v>
      </c>
      <c r="E386" s="5" t="inlineStr">
        <is>
          <t>销售费用</t>
        </is>
      </c>
      <c r="F386" s="8" t="n">
        <v>6625</v>
      </c>
    </row>
    <row r="387">
      <c r="A387" s="5" t="inlineStr">
        <is>
          <t>合并</t>
        </is>
      </c>
      <c r="B387" s="5" t="inlineStr">
        <is>
          <t>集团</t>
        </is>
      </c>
      <c r="C387" s="5" t="inlineStr">
        <is>
          <t>集团</t>
        </is>
      </c>
      <c r="D387" s="38" t="n">
        <v>2026</v>
      </c>
      <c r="E387" s="5" t="inlineStr">
        <is>
          <t>销售费用</t>
        </is>
      </c>
      <c r="F387" s="8" t="n">
        <v>17125</v>
      </c>
    </row>
    <row r="388">
      <c r="A388" s="5" t="inlineStr">
        <is>
          <t>智擎互联</t>
        </is>
      </c>
      <c r="B388" s="5" t="inlineStr">
        <is>
          <t>集团</t>
        </is>
      </c>
      <c r="C388" s="5" t="inlineStr">
        <is>
          <t>集团</t>
        </is>
      </c>
      <c r="D388" s="38" t="n">
        <v>2026</v>
      </c>
      <c r="E388" s="5" t="inlineStr">
        <is>
          <t>管理费用</t>
        </is>
      </c>
      <c r="F388" s="8" t="n">
        <v>1375</v>
      </c>
    </row>
    <row r="389">
      <c r="A389" s="5" t="inlineStr">
        <is>
          <t>合并</t>
        </is>
      </c>
      <c r="B389" s="5" t="inlineStr">
        <is>
          <t>集团</t>
        </is>
      </c>
      <c r="C389" s="5" t="inlineStr">
        <is>
          <t>集团</t>
        </is>
      </c>
      <c r="D389" s="38" t="n">
        <v>2026</v>
      </c>
      <c r="E389" s="5" t="inlineStr">
        <is>
          <t>管理费用</t>
        </is>
      </c>
      <c r="F389" s="8" t="n">
        <v>7755</v>
      </c>
    </row>
    <row r="390">
      <c r="A390" s="5" t="inlineStr">
        <is>
          <t>智擎研究院</t>
        </is>
      </c>
      <c r="B390" s="5" t="inlineStr">
        <is>
          <t>集团</t>
        </is>
      </c>
      <c r="C390" s="5" t="inlineStr">
        <is>
          <t>集团</t>
        </is>
      </c>
      <c r="D390" s="38" t="n">
        <v>2026</v>
      </c>
      <c r="E390" s="5" t="inlineStr">
        <is>
          <t>净利润</t>
        </is>
      </c>
      <c r="F390" s="8" t="n">
        <v>-55511.4</v>
      </c>
    </row>
    <row r="391">
      <c r="A391" s="5" t="inlineStr">
        <is>
          <t>智擎研究院</t>
        </is>
      </c>
      <c r="B391" s="5" t="inlineStr">
        <is>
          <t>集团</t>
        </is>
      </c>
      <c r="C391" s="5" t="inlineStr">
        <is>
          <t>集团</t>
        </is>
      </c>
      <c r="D391" s="38" t="n">
        <v>2026</v>
      </c>
      <c r="E391" s="5" t="inlineStr">
        <is>
          <t>现金</t>
        </is>
      </c>
      <c r="F391" s="8" t="n">
        <v>48500.756438</v>
      </c>
    </row>
    <row r="392">
      <c r="A392" s="5" t="inlineStr">
        <is>
          <t>智擎研究院</t>
        </is>
      </c>
      <c r="B392" s="5" t="inlineStr">
        <is>
          <t>集团</t>
        </is>
      </c>
      <c r="C392" s="5" t="inlineStr">
        <is>
          <t>集团</t>
        </is>
      </c>
      <c r="D392" s="38" t="n">
        <v>2026</v>
      </c>
      <c r="E392" s="5" t="inlineStr">
        <is>
          <t>固定资产</t>
        </is>
      </c>
      <c r="F392" s="8" t="n">
        <v>71000</v>
      </c>
    </row>
    <row r="393">
      <c r="A393" s="5" t="inlineStr">
        <is>
          <t>智擎研究院</t>
        </is>
      </c>
      <c r="B393" s="5" t="inlineStr">
        <is>
          <t>集团</t>
        </is>
      </c>
      <c r="C393" s="5" t="inlineStr">
        <is>
          <t>集团</t>
        </is>
      </c>
      <c r="D393" s="38" t="n">
        <v>2026</v>
      </c>
      <c r="E393" s="5" t="inlineStr">
        <is>
          <t>营业收入</t>
        </is>
      </c>
      <c r="F393" s="8" t="n">
        <v>26078.6</v>
      </c>
    </row>
    <row r="394">
      <c r="A394" s="5" t="inlineStr">
        <is>
          <t>智擎研究院</t>
        </is>
      </c>
      <c r="B394" s="5" t="inlineStr">
        <is>
          <t>集团</t>
        </is>
      </c>
      <c r="C394" s="5" t="inlineStr">
        <is>
          <t>集团</t>
        </is>
      </c>
      <c r="D394" s="38" t="n">
        <v>2026</v>
      </c>
      <c r="E394" s="5" t="inlineStr">
        <is>
          <t>毛利</t>
        </is>
      </c>
      <c r="F394" s="8" t="n">
        <v>26078.6</v>
      </c>
    </row>
    <row r="395">
      <c r="A395" s="5" t="inlineStr">
        <is>
          <t>智擎研究院</t>
        </is>
      </c>
      <c r="B395" s="5" t="inlineStr">
        <is>
          <t>集团</t>
        </is>
      </c>
      <c r="C395" s="5" t="inlineStr">
        <is>
          <t>集团</t>
        </is>
      </c>
      <c r="D395" s="38" t="n">
        <v>2026</v>
      </c>
      <c r="E395" s="5" t="inlineStr">
        <is>
          <t>EBITDA</t>
        </is>
      </c>
      <c r="F395" s="8" t="n">
        <v>-17511.4</v>
      </c>
    </row>
    <row r="396">
      <c r="A396" s="5" t="inlineStr">
        <is>
          <t>智擎云</t>
        </is>
      </c>
      <c r="B396" s="5" t="inlineStr">
        <is>
          <t>集团</t>
        </is>
      </c>
      <c r="C396" s="5" t="inlineStr">
        <is>
          <t>集团</t>
        </is>
      </c>
      <c r="D396" s="38" t="n">
        <v>2026</v>
      </c>
      <c r="E396" s="5" t="inlineStr">
        <is>
          <t>净利润</t>
        </is>
      </c>
      <c r="F396" s="8" t="n">
        <v>16534.4975</v>
      </c>
    </row>
    <row r="397">
      <c r="A397" s="5" t="inlineStr">
        <is>
          <t>智擎云</t>
        </is>
      </c>
      <c r="B397" s="5" t="inlineStr">
        <is>
          <t>集团</t>
        </is>
      </c>
      <c r="C397" s="5" t="inlineStr">
        <is>
          <t>集团</t>
        </is>
      </c>
      <c r="D397" s="38" t="n">
        <v>2026</v>
      </c>
      <c r="E397" s="5" t="inlineStr">
        <is>
          <t>现金</t>
        </is>
      </c>
      <c r="F397" s="8" t="n">
        <v>46779.975836</v>
      </c>
    </row>
    <row r="398">
      <c r="A398" s="5" t="inlineStr">
        <is>
          <t>智擎云</t>
        </is>
      </c>
      <c r="B398" s="5" t="inlineStr">
        <is>
          <t>集团</t>
        </is>
      </c>
      <c r="C398" s="5" t="inlineStr">
        <is>
          <t>集团</t>
        </is>
      </c>
      <c r="D398" s="38" t="n">
        <v>2026</v>
      </c>
      <c r="E398" s="5" t="inlineStr">
        <is>
          <t>固定资产</t>
        </is>
      </c>
      <c r="F398" s="8" t="n">
        <v>49000</v>
      </c>
    </row>
    <row r="399">
      <c r="A399" s="5" t="inlineStr">
        <is>
          <t>智擎云</t>
        </is>
      </c>
      <c r="B399" s="5" t="inlineStr">
        <is>
          <t>集团</t>
        </is>
      </c>
      <c r="C399" s="5" t="inlineStr">
        <is>
          <t>集团</t>
        </is>
      </c>
      <c r="D399" s="38" t="n">
        <v>2026</v>
      </c>
      <c r="E399" s="5" t="inlineStr">
        <is>
          <t>营业收入</t>
        </is>
      </c>
      <c r="F399" s="8" t="n">
        <v>117514</v>
      </c>
    </row>
    <row r="400">
      <c r="A400" s="5" t="inlineStr">
        <is>
          <t>智擎云</t>
        </is>
      </c>
      <c r="B400" s="5" t="inlineStr">
        <is>
          <t>集团</t>
        </is>
      </c>
      <c r="C400" s="5" t="inlineStr">
        <is>
          <t>集团</t>
        </is>
      </c>
      <c r="D400" s="38" t="n">
        <v>2026</v>
      </c>
      <c r="E400" s="5" t="inlineStr">
        <is>
          <t>毛利</t>
        </is>
      </c>
      <c r="F400" s="8" t="n">
        <v>56802.35</v>
      </c>
    </row>
    <row r="401">
      <c r="A401" s="5" t="inlineStr">
        <is>
          <t>智擎云</t>
        </is>
      </c>
      <c r="B401" s="5" t="inlineStr">
        <is>
          <t>集团</t>
        </is>
      </c>
      <c r="C401" s="5" t="inlineStr">
        <is>
          <t>集团</t>
        </is>
      </c>
      <c r="D401" s="38" t="n">
        <v>2026</v>
      </c>
      <c r="E401" s="5" t="inlineStr">
        <is>
          <t>EBITDA</t>
        </is>
      </c>
      <c r="F401" s="8" t="n">
        <v>41452.35</v>
      </c>
    </row>
    <row r="402">
      <c r="A402" s="5" t="inlineStr">
        <is>
          <t>智擎行业</t>
        </is>
      </c>
      <c r="B402" s="5" t="inlineStr">
        <is>
          <t>集团</t>
        </is>
      </c>
      <c r="C402" s="5" t="inlineStr">
        <is>
          <t>集团</t>
        </is>
      </c>
      <c r="D402" s="38" t="n">
        <v>2026</v>
      </c>
      <c r="E402" s="5" t="inlineStr">
        <is>
          <t>净利润</t>
        </is>
      </c>
      <c r="F402" s="8" t="n">
        <v>-1927</v>
      </c>
    </row>
    <row r="403">
      <c r="A403" s="5" t="inlineStr">
        <is>
          <t>智擎行业</t>
        </is>
      </c>
      <c r="B403" s="5" t="inlineStr">
        <is>
          <t>集团</t>
        </is>
      </c>
      <c r="C403" s="5" t="inlineStr">
        <is>
          <t>集团</t>
        </is>
      </c>
      <c r="D403" s="38" t="n">
        <v>2026</v>
      </c>
      <c r="E403" s="5" t="inlineStr">
        <is>
          <t>现金</t>
        </is>
      </c>
      <c r="F403" s="8" t="n">
        <v>45261.356164</v>
      </c>
    </row>
    <row r="404">
      <c r="A404" s="5" t="inlineStr">
        <is>
          <t>智擎行业</t>
        </is>
      </c>
      <c r="B404" s="5" t="inlineStr">
        <is>
          <t>集团</t>
        </is>
      </c>
      <c r="C404" s="5" t="inlineStr">
        <is>
          <t>集团</t>
        </is>
      </c>
      <c r="D404" s="38" t="n">
        <v>2026</v>
      </c>
      <c r="E404" s="5" t="inlineStr">
        <is>
          <t>固定资产</t>
        </is>
      </c>
      <c r="F404" s="8" t="n">
        <v>0</v>
      </c>
    </row>
    <row r="405">
      <c r="A405" s="5" t="inlineStr">
        <is>
          <t>智擎行业</t>
        </is>
      </c>
      <c r="B405" s="5" t="inlineStr">
        <is>
          <t>集团</t>
        </is>
      </c>
      <c r="C405" s="5" t="inlineStr">
        <is>
          <t>集团</t>
        </is>
      </c>
      <c r="D405" s="38" t="n">
        <v>2026</v>
      </c>
      <c r="E405" s="5" t="inlineStr">
        <is>
          <t>营业收入</t>
        </is>
      </c>
      <c r="F405" s="8" t="n">
        <v>56350</v>
      </c>
    </row>
    <row r="406">
      <c r="A406" s="5" t="inlineStr">
        <is>
          <t>智擎行业</t>
        </is>
      </c>
      <c r="B406" s="5" t="inlineStr">
        <is>
          <t>集团</t>
        </is>
      </c>
      <c r="C406" s="5" t="inlineStr">
        <is>
          <t>集团</t>
        </is>
      </c>
      <c r="D406" s="38" t="n">
        <v>2026</v>
      </c>
      <c r="E406" s="5" t="inlineStr">
        <is>
          <t>毛利</t>
        </is>
      </c>
      <c r="F406" s="8" t="n">
        <v>13163</v>
      </c>
    </row>
    <row r="407">
      <c r="A407" s="5" t="inlineStr">
        <is>
          <t>智擎行业</t>
        </is>
      </c>
      <c r="B407" s="5" t="inlineStr">
        <is>
          <t>集团</t>
        </is>
      </c>
      <c r="C407" s="5" t="inlineStr">
        <is>
          <t>集团</t>
        </is>
      </c>
      <c r="D407" s="38" t="n">
        <v>2026</v>
      </c>
      <c r="E407" s="5" t="inlineStr">
        <is>
          <t>EBITDA</t>
        </is>
      </c>
      <c r="F407" s="8" t="n">
        <v>-1927</v>
      </c>
    </row>
    <row r="408">
      <c r="A408" s="5" t="inlineStr">
        <is>
          <t>智擎互联</t>
        </is>
      </c>
      <c r="B408" s="5" t="inlineStr">
        <is>
          <t>集团</t>
        </is>
      </c>
      <c r="C408" s="5" t="inlineStr">
        <is>
          <t>集团</t>
        </is>
      </c>
      <c r="D408" s="38" t="n">
        <v>2026</v>
      </c>
      <c r="E408" s="5" t="inlineStr">
        <is>
          <t>净利润</t>
        </is>
      </c>
      <c r="F408" s="8" t="n">
        <v>-16200.4</v>
      </c>
    </row>
    <row r="409">
      <c r="A409" s="5" t="inlineStr">
        <is>
          <t>智擎互联</t>
        </is>
      </c>
      <c r="B409" s="5" t="inlineStr">
        <is>
          <t>集团</t>
        </is>
      </c>
      <c r="C409" s="5" t="inlineStr">
        <is>
          <t>集团</t>
        </is>
      </c>
      <c r="D409" s="38" t="n">
        <v>2026</v>
      </c>
      <c r="E409" s="5" t="inlineStr">
        <is>
          <t>现金</t>
        </is>
      </c>
      <c r="F409" s="8" t="n">
        <v>7326.001096</v>
      </c>
    </row>
    <row r="410">
      <c r="A410" s="5" t="inlineStr">
        <is>
          <t>智擎互联</t>
        </is>
      </c>
      <c r="B410" s="5" t="inlineStr">
        <is>
          <t>集团</t>
        </is>
      </c>
      <c r="C410" s="5" t="inlineStr">
        <is>
          <t>集团</t>
        </is>
      </c>
      <c r="D410" s="38" t="n">
        <v>2026</v>
      </c>
      <c r="E410" s="5" t="inlineStr">
        <is>
          <t>固定资产</t>
        </is>
      </c>
      <c r="F410" s="8" t="n">
        <v>0</v>
      </c>
    </row>
    <row r="411">
      <c r="A411" s="5" t="inlineStr">
        <is>
          <t>智擎互联</t>
        </is>
      </c>
      <c r="B411" s="5" t="inlineStr">
        <is>
          <t>集团</t>
        </is>
      </c>
      <c r="C411" s="5" t="inlineStr">
        <is>
          <t>集团</t>
        </is>
      </c>
      <c r="D411" s="38" t="n">
        <v>2026</v>
      </c>
      <c r="E411" s="5" t="inlineStr">
        <is>
          <t>营业收入</t>
        </is>
      </c>
      <c r="F411" s="8" t="n">
        <v>19744</v>
      </c>
    </row>
    <row r="412">
      <c r="A412" s="5" t="inlineStr">
        <is>
          <t>智擎互联</t>
        </is>
      </c>
      <c r="B412" s="5" t="inlineStr">
        <is>
          <t>集团</t>
        </is>
      </c>
      <c r="C412" s="5" t="inlineStr">
        <is>
          <t>集团</t>
        </is>
      </c>
      <c r="D412" s="38" t="n">
        <v>2026</v>
      </c>
      <c r="E412" s="5" t="inlineStr">
        <is>
          <t>毛利</t>
        </is>
      </c>
      <c r="F412" s="8" t="n">
        <v>5799.6</v>
      </c>
    </row>
    <row r="413">
      <c r="A413" s="5" t="inlineStr">
        <is>
          <t>智擎互联</t>
        </is>
      </c>
      <c r="B413" s="5" t="inlineStr">
        <is>
          <t>集团</t>
        </is>
      </c>
      <c r="C413" s="5" t="inlineStr">
        <is>
          <t>集团</t>
        </is>
      </c>
      <c r="D413" s="38" t="n">
        <v>2026</v>
      </c>
      <c r="E413" s="5" t="inlineStr">
        <is>
          <t>EBITDA</t>
        </is>
      </c>
      <c r="F413" s="8" t="n">
        <v>-16200.4</v>
      </c>
    </row>
    <row r="414">
      <c r="A414" s="5" t="inlineStr">
        <is>
          <t>合并</t>
        </is>
      </c>
      <c r="B414" s="5" t="inlineStr">
        <is>
          <t>集团</t>
        </is>
      </c>
      <c r="C414" s="5" t="inlineStr">
        <is>
          <t>集团</t>
        </is>
      </c>
      <c r="D414" s="38" t="n">
        <v>2026</v>
      </c>
      <c r="E414" s="5" t="inlineStr">
        <is>
          <t>净利润</t>
        </is>
      </c>
      <c r="F414" s="8" t="n">
        <v>-57104.3025</v>
      </c>
    </row>
    <row r="415">
      <c r="A415" s="5" t="inlineStr">
        <is>
          <t>合并</t>
        </is>
      </c>
      <c r="B415" s="5" t="inlineStr">
        <is>
          <t>集团</t>
        </is>
      </c>
      <c r="C415" s="5" t="inlineStr">
        <is>
          <t>集团</t>
        </is>
      </c>
      <c r="D415" s="38" t="n">
        <v>2026</v>
      </c>
      <c r="E415" s="5" t="inlineStr">
        <is>
          <t>现金</t>
        </is>
      </c>
      <c r="F415" s="8" t="n">
        <v>147868.089534</v>
      </c>
    </row>
    <row r="416">
      <c r="A416" s="5" t="inlineStr">
        <is>
          <t>合并</t>
        </is>
      </c>
      <c r="B416" s="5" t="inlineStr">
        <is>
          <t>集团</t>
        </is>
      </c>
      <c r="C416" s="5" t="inlineStr">
        <is>
          <t>集团</t>
        </is>
      </c>
      <c r="D416" s="38" t="n">
        <v>2026</v>
      </c>
      <c r="E416" s="5" t="inlineStr">
        <is>
          <t>固定资产</t>
        </is>
      </c>
      <c r="F416" s="8" t="n">
        <v>120000</v>
      </c>
    </row>
    <row r="417">
      <c r="A417" s="5" t="inlineStr">
        <is>
          <t>合并</t>
        </is>
      </c>
      <c r="B417" s="5" t="inlineStr">
        <is>
          <t>集团</t>
        </is>
      </c>
      <c r="C417" s="5" t="inlineStr">
        <is>
          <t>集团</t>
        </is>
      </c>
      <c r="D417" s="38" t="n">
        <v>2026</v>
      </c>
      <c r="E417" s="5" t="inlineStr">
        <is>
          <t>营业收入</t>
        </is>
      </c>
      <c r="F417" s="8" t="n">
        <v>185229</v>
      </c>
    </row>
    <row r="418">
      <c r="A418" s="5" t="inlineStr">
        <is>
          <t>合并</t>
        </is>
      </c>
      <c r="B418" s="5" t="inlineStr">
        <is>
          <t>集团</t>
        </is>
      </c>
      <c r="C418" s="5" t="inlineStr">
        <is>
          <t>集团</t>
        </is>
      </c>
      <c r="D418" s="38" t="n">
        <v>2026</v>
      </c>
      <c r="E418" s="5" t="inlineStr">
        <is>
          <t>毛利</t>
        </is>
      </c>
      <c r="F418" s="8" t="n">
        <v>101843.55</v>
      </c>
    </row>
    <row r="419">
      <c r="A419" s="5" t="inlineStr">
        <is>
          <t>合并</t>
        </is>
      </c>
      <c r="B419" s="5" t="inlineStr">
        <is>
          <t>集团</t>
        </is>
      </c>
      <c r="C419" s="5" t="inlineStr">
        <is>
          <t>集团</t>
        </is>
      </c>
      <c r="D419" s="38" t="n">
        <v>2026</v>
      </c>
      <c r="E419" s="5" t="inlineStr">
        <is>
          <t>EBITDA</t>
        </is>
      </c>
      <c r="F419" s="8" t="n">
        <v>5813.55</v>
      </c>
    </row>
    <row r="420">
      <c r="A420" s="5" t="inlineStr">
        <is>
          <t>合并</t>
        </is>
      </c>
      <c r="B420" s="5" t="inlineStr">
        <is>
          <t>MaaS API</t>
        </is>
      </c>
      <c r="C420" s="5" t="inlineStr">
        <is>
          <t>华东</t>
        </is>
      </c>
      <c r="D420" s="38" t="n">
        <v>2027</v>
      </c>
      <c r="E420" s="5" t="inlineStr">
        <is>
          <t>收入</t>
        </is>
      </c>
      <c r="F420" s="8" t="n">
        <v>39091.5</v>
      </c>
    </row>
    <row r="421">
      <c r="A421" s="5" t="inlineStr">
        <is>
          <t>智擎云</t>
        </is>
      </c>
      <c r="B421" s="5" t="inlineStr">
        <is>
          <t>MaaS API</t>
        </is>
      </c>
      <c r="C421" s="5" t="inlineStr">
        <is>
          <t>华东</t>
        </is>
      </c>
      <c r="D421" s="38" t="n">
        <v>2027</v>
      </c>
      <c r="E421" s="5" t="inlineStr">
        <is>
          <t>收入</t>
        </is>
      </c>
      <c r="F421" s="8" t="n">
        <v>39091.5</v>
      </c>
    </row>
    <row r="422">
      <c r="A422" s="5" t="inlineStr">
        <is>
          <t>合并</t>
        </is>
      </c>
      <c r="B422" s="5" t="inlineStr">
        <is>
          <t>MaaS API</t>
        </is>
      </c>
      <c r="C422" s="5" t="inlineStr">
        <is>
          <t>华北</t>
        </is>
      </c>
      <c r="D422" s="38" t="n">
        <v>2027</v>
      </c>
      <c r="E422" s="5" t="inlineStr">
        <is>
          <t>收入</t>
        </is>
      </c>
      <c r="F422" s="8" t="n">
        <v>37695.375</v>
      </c>
    </row>
    <row r="423">
      <c r="A423" s="5" t="inlineStr">
        <is>
          <t>智擎云</t>
        </is>
      </c>
      <c r="B423" s="5" t="inlineStr">
        <is>
          <t>MaaS API</t>
        </is>
      </c>
      <c r="C423" s="5" t="inlineStr">
        <is>
          <t>华北</t>
        </is>
      </c>
      <c r="D423" s="38" t="n">
        <v>2027</v>
      </c>
      <c r="E423" s="5" t="inlineStr">
        <is>
          <t>收入</t>
        </is>
      </c>
      <c r="F423" s="8" t="n">
        <v>37695.375</v>
      </c>
    </row>
    <row r="424">
      <c r="A424" s="5" t="inlineStr">
        <is>
          <t>合并</t>
        </is>
      </c>
      <c r="B424" s="5" t="inlineStr">
        <is>
          <t>MaaS API</t>
        </is>
      </c>
      <c r="C424" s="5" t="inlineStr">
        <is>
          <t>华南</t>
        </is>
      </c>
      <c r="D424" s="38" t="n">
        <v>2027</v>
      </c>
      <c r="E424" s="5" t="inlineStr">
        <is>
          <t>收入</t>
        </is>
      </c>
      <c r="F424" s="8" t="n">
        <v>27922.5</v>
      </c>
    </row>
    <row r="425">
      <c r="A425" s="5" t="inlineStr">
        <is>
          <t>智擎云</t>
        </is>
      </c>
      <c r="B425" s="5" t="inlineStr">
        <is>
          <t>MaaS API</t>
        </is>
      </c>
      <c r="C425" s="5" t="inlineStr">
        <is>
          <t>华南</t>
        </is>
      </c>
      <c r="D425" s="38" t="n">
        <v>2027</v>
      </c>
      <c r="E425" s="5" t="inlineStr">
        <is>
          <t>收入</t>
        </is>
      </c>
      <c r="F425" s="8" t="n">
        <v>27922.5</v>
      </c>
    </row>
    <row r="426">
      <c r="A426" s="5" t="inlineStr">
        <is>
          <t>合并</t>
        </is>
      </c>
      <c r="B426" s="5" t="inlineStr">
        <is>
          <t>MaaS API</t>
        </is>
      </c>
      <c r="C426" s="5" t="inlineStr">
        <is>
          <t>海外</t>
        </is>
      </c>
      <c r="D426" s="38" t="n">
        <v>2027</v>
      </c>
      <c r="E426" s="5" t="inlineStr">
        <is>
          <t>收入</t>
        </is>
      </c>
      <c r="F426" s="8" t="n">
        <v>34903.125</v>
      </c>
    </row>
    <row r="427">
      <c r="A427" s="5" t="inlineStr">
        <is>
          <t>智擎云</t>
        </is>
      </c>
      <c r="B427" s="5" t="inlineStr">
        <is>
          <t>MaaS API</t>
        </is>
      </c>
      <c r="C427" s="5" t="inlineStr">
        <is>
          <t>海外</t>
        </is>
      </c>
      <c r="D427" s="38" t="n">
        <v>2027</v>
      </c>
      <c r="E427" s="5" t="inlineStr">
        <is>
          <t>收入</t>
        </is>
      </c>
      <c r="F427" s="8" t="n">
        <v>34903.125</v>
      </c>
    </row>
    <row r="428">
      <c r="A428" s="5" t="inlineStr">
        <is>
          <t>合并</t>
        </is>
      </c>
      <c r="B428" s="5" t="inlineStr">
        <is>
          <t>私有化部署</t>
        </is>
      </c>
      <c r="C428" s="5" t="inlineStr">
        <is>
          <t>华东</t>
        </is>
      </c>
      <c r="D428" s="38" t="n">
        <v>2027</v>
      </c>
      <c r="E428" s="5" t="inlineStr">
        <is>
          <t>收入</t>
        </is>
      </c>
      <c r="F428" s="8" t="n">
        <v>16800</v>
      </c>
    </row>
    <row r="429">
      <c r="A429" s="5" t="inlineStr">
        <is>
          <t>智擎行业</t>
        </is>
      </c>
      <c r="B429" s="5" t="inlineStr">
        <is>
          <t>私有化部署</t>
        </is>
      </c>
      <c r="C429" s="5" t="inlineStr">
        <is>
          <t>华东</t>
        </is>
      </c>
      <c r="D429" s="38" t="n">
        <v>2027</v>
      </c>
      <c r="E429" s="5" t="inlineStr">
        <is>
          <t>收入</t>
        </is>
      </c>
      <c r="F429" s="8" t="n">
        <v>16800</v>
      </c>
    </row>
    <row r="430">
      <c r="A430" s="5" t="inlineStr">
        <is>
          <t>合并</t>
        </is>
      </c>
      <c r="B430" s="5" t="inlineStr">
        <is>
          <t>私有化部署</t>
        </is>
      </c>
      <c r="C430" s="5" t="inlineStr">
        <is>
          <t>华北</t>
        </is>
      </c>
      <c r="D430" s="38" t="n">
        <v>2027</v>
      </c>
      <c r="E430" s="5" t="inlineStr">
        <is>
          <t>收入</t>
        </is>
      </c>
      <c r="F430" s="8" t="n">
        <v>16200</v>
      </c>
    </row>
    <row r="431">
      <c r="A431" s="5" t="inlineStr">
        <is>
          <t>智擎行业</t>
        </is>
      </c>
      <c r="B431" s="5" t="inlineStr">
        <is>
          <t>私有化部署</t>
        </is>
      </c>
      <c r="C431" s="5" t="inlineStr">
        <is>
          <t>华北</t>
        </is>
      </c>
      <c r="D431" s="38" t="n">
        <v>2027</v>
      </c>
      <c r="E431" s="5" t="inlineStr">
        <is>
          <t>收入</t>
        </is>
      </c>
      <c r="F431" s="8" t="n">
        <v>16200</v>
      </c>
    </row>
    <row r="432">
      <c r="A432" s="5" t="inlineStr">
        <is>
          <t>合并</t>
        </is>
      </c>
      <c r="B432" s="5" t="inlineStr">
        <is>
          <t>私有化部署</t>
        </is>
      </c>
      <c r="C432" s="5" t="inlineStr">
        <is>
          <t>华南</t>
        </is>
      </c>
      <c r="D432" s="38" t="n">
        <v>2027</v>
      </c>
      <c r="E432" s="5" t="inlineStr">
        <is>
          <t>收入</t>
        </is>
      </c>
      <c r="F432" s="8" t="n">
        <v>12000</v>
      </c>
    </row>
    <row r="433">
      <c r="A433" s="5" t="inlineStr">
        <is>
          <t>智擎行业</t>
        </is>
      </c>
      <c r="B433" s="5" t="inlineStr">
        <is>
          <t>私有化部署</t>
        </is>
      </c>
      <c r="C433" s="5" t="inlineStr">
        <is>
          <t>华南</t>
        </is>
      </c>
      <c r="D433" s="38" t="n">
        <v>2027</v>
      </c>
      <c r="E433" s="5" t="inlineStr">
        <is>
          <t>收入</t>
        </is>
      </c>
      <c r="F433" s="8" t="n">
        <v>12000</v>
      </c>
    </row>
    <row r="434">
      <c r="A434" s="5" t="inlineStr">
        <is>
          <t>合并</t>
        </is>
      </c>
      <c r="B434" s="5" t="inlineStr">
        <is>
          <t>私有化部署</t>
        </is>
      </c>
      <c r="C434" s="5" t="inlineStr">
        <is>
          <t>海外</t>
        </is>
      </c>
      <c r="D434" s="38" t="n">
        <v>2027</v>
      </c>
      <c r="E434" s="5" t="inlineStr">
        <is>
          <t>收入</t>
        </is>
      </c>
      <c r="F434" s="8" t="n">
        <v>15000</v>
      </c>
    </row>
    <row r="435">
      <c r="A435" s="5" t="inlineStr">
        <is>
          <t>智擎行业</t>
        </is>
      </c>
      <c r="B435" s="5" t="inlineStr">
        <is>
          <t>私有化部署</t>
        </is>
      </c>
      <c r="C435" s="5" t="inlineStr">
        <is>
          <t>海外</t>
        </is>
      </c>
      <c r="D435" s="38" t="n">
        <v>2027</v>
      </c>
      <c r="E435" s="5" t="inlineStr">
        <is>
          <t>收入</t>
        </is>
      </c>
      <c r="F435" s="8" t="n">
        <v>15000</v>
      </c>
    </row>
    <row r="436">
      <c r="A436" s="5" t="inlineStr">
        <is>
          <t>合并</t>
        </is>
      </c>
      <c r="B436" s="5" t="inlineStr">
        <is>
          <t>行业解决方案</t>
        </is>
      </c>
      <c r="C436" s="5" t="inlineStr">
        <is>
          <t>华东</t>
        </is>
      </c>
      <c r="D436" s="38" t="n">
        <v>2027</v>
      </c>
      <c r="E436" s="5" t="inlineStr">
        <is>
          <t>收入</t>
        </is>
      </c>
      <c r="F436" s="8" t="n">
        <v>5409.6</v>
      </c>
    </row>
    <row r="437">
      <c r="A437" s="5" t="inlineStr">
        <is>
          <t>智擎行业</t>
        </is>
      </c>
      <c r="B437" s="5" t="inlineStr">
        <is>
          <t>行业解决方案</t>
        </is>
      </c>
      <c r="C437" s="5" t="inlineStr">
        <is>
          <t>华东</t>
        </is>
      </c>
      <c r="D437" s="38" t="n">
        <v>2027</v>
      </c>
      <c r="E437" s="5" t="inlineStr">
        <is>
          <t>收入</t>
        </is>
      </c>
      <c r="F437" s="8" t="n">
        <v>5409.6</v>
      </c>
    </row>
    <row r="438">
      <c r="A438" s="5" t="inlineStr">
        <is>
          <t>合并</t>
        </is>
      </c>
      <c r="B438" s="5" t="inlineStr">
        <is>
          <t>行业解决方案</t>
        </is>
      </c>
      <c r="C438" s="5" t="inlineStr">
        <is>
          <t>华北</t>
        </is>
      </c>
      <c r="D438" s="38" t="n">
        <v>2027</v>
      </c>
      <c r="E438" s="5" t="inlineStr">
        <is>
          <t>收入</t>
        </is>
      </c>
      <c r="F438" s="8" t="n">
        <v>5216.4</v>
      </c>
    </row>
    <row r="439">
      <c r="A439" s="5" t="inlineStr">
        <is>
          <t>智擎行业</t>
        </is>
      </c>
      <c r="B439" s="5" t="inlineStr">
        <is>
          <t>行业解决方案</t>
        </is>
      </c>
      <c r="C439" s="5" t="inlineStr">
        <is>
          <t>华北</t>
        </is>
      </c>
      <c r="D439" s="38" t="n">
        <v>2027</v>
      </c>
      <c r="E439" s="5" t="inlineStr">
        <is>
          <t>收入</t>
        </is>
      </c>
      <c r="F439" s="8" t="n">
        <v>5216.4</v>
      </c>
    </row>
    <row r="440">
      <c r="A440" s="5" t="inlineStr">
        <is>
          <t>合并</t>
        </is>
      </c>
      <c r="B440" s="5" t="inlineStr">
        <is>
          <t>行业解决方案</t>
        </is>
      </c>
      <c r="C440" s="5" t="inlineStr">
        <is>
          <t>华南</t>
        </is>
      </c>
      <c r="D440" s="38" t="n">
        <v>2027</v>
      </c>
      <c r="E440" s="5" t="inlineStr">
        <is>
          <t>收入</t>
        </is>
      </c>
      <c r="F440" s="8" t="n">
        <v>3864</v>
      </c>
    </row>
    <row r="441">
      <c r="A441" s="5" t="inlineStr">
        <is>
          <t>智擎行业</t>
        </is>
      </c>
      <c r="B441" s="5" t="inlineStr">
        <is>
          <t>行业解决方案</t>
        </is>
      </c>
      <c r="C441" s="5" t="inlineStr">
        <is>
          <t>华南</t>
        </is>
      </c>
      <c r="D441" s="38" t="n">
        <v>2027</v>
      </c>
      <c r="E441" s="5" t="inlineStr">
        <is>
          <t>收入</t>
        </is>
      </c>
      <c r="F441" s="8" t="n">
        <v>3864</v>
      </c>
    </row>
    <row r="442">
      <c r="A442" s="5" t="inlineStr">
        <is>
          <t>合并</t>
        </is>
      </c>
      <c r="B442" s="5" t="inlineStr">
        <is>
          <t>行业解决方案</t>
        </is>
      </c>
      <c r="C442" s="5" t="inlineStr">
        <is>
          <t>海外</t>
        </is>
      </c>
      <c r="D442" s="38" t="n">
        <v>2027</v>
      </c>
      <c r="E442" s="5" t="inlineStr">
        <is>
          <t>收入</t>
        </is>
      </c>
      <c r="F442" s="8" t="n">
        <v>4830</v>
      </c>
    </row>
    <row r="443">
      <c r="A443" s="5" t="inlineStr">
        <is>
          <t>智擎行业</t>
        </is>
      </c>
      <c r="B443" s="5" t="inlineStr">
        <is>
          <t>行业解决方案</t>
        </is>
      </c>
      <c r="C443" s="5" t="inlineStr">
        <is>
          <t>海外</t>
        </is>
      </c>
      <c r="D443" s="38" t="n">
        <v>2027</v>
      </c>
      <c r="E443" s="5" t="inlineStr">
        <is>
          <t>收入</t>
        </is>
      </c>
      <c r="F443" s="8" t="n">
        <v>4830</v>
      </c>
    </row>
    <row r="444">
      <c r="A444" s="5" t="inlineStr">
        <is>
          <t>合并</t>
        </is>
      </c>
      <c r="B444" s="5" t="inlineStr">
        <is>
          <t>C端订阅</t>
        </is>
      </c>
      <c r="C444" s="5" t="inlineStr">
        <is>
          <t>华东</t>
        </is>
      </c>
      <c r="D444" s="38" t="n">
        <v>2027</v>
      </c>
      <c r="E444" s="5" t="inlineStr">
        <is>
          <t>收入</t>
        </is>
      </c>
      <c r="F444" s="8" t="n">
        <v>10584</v>
      </c>
    </row>
    <row r="445">
      <c r="A445" s="5" t="inlineStr">
        <is>
          <t>智擎互联</t>
        </is>
      </c>
      <c r="B445" s="5" t="inlineStr">
        <is>
          <t>C端订阅</t>
        </is>
      </c>
      <c r="C445" s="5" t="inlineStr">
        <is>
          <t>华东</t>
        </is>
      </c>
      <c r="D445" s="38" t="n">
        <v>2027</v>
      </c>
      <c r="E445" s="5" t="inlineStr">
        <is>
          <t>收入</t>
        </is>
      </c>
      <c r="F445" s="8" t="n">
        <v>10584</v>
      </c>
    </row>
    <row r="446">
      <c r="A446" s="5" t="inlineStr">
        <is>
          <t>合并</t>
        </is>
      </c>
      <c r="B446" s="5" t="inlineStr">
        <is>
          <t>C端订阅</t>
        </is>
      </c>
      <c r="C446" s="5" t="inlineStr">
        <is>
          <t>华北</t>
        </is>
      </c>
      <c r="D446" s="38" t="n">
        <v>2027</v>
      </c>
      <c r="E446" s="5" t="inlineStr">
        <is>
          <t>收入</t>
        </is>
      </c>
      <c r="F446" s="8" t="n">
        <v>10206</v>
      </c>
    </row>
    <row r="447">
      <c r="A447" s="5" t="inlineStr">
        <is>
          <t>智擎互联</t>
        </is>
      </c>
      <c r="B447" s="5" t="inlineStr">
        <is>
          <t>C端订阅</t>
        </is>
      </c>
      <c r="C447" s="5" t="inlineStr">
        <is>
          <t>华北</t>
        </is>
      </c>
      <c r="D447" s="38" t="n">
        <v>2027</v>
      </c>
      <c r="E447" s="5" t="inlineStr">
        <is>
          <t>收入</t>
        </is>
      </c>
      <c r="F447" s="8" t="n">
        <v>10206</v>
      </c>
    </row>
    <row r="448">
      <c r="A448" s="5" t="inlineStr">
        <is>
          <t>合并</t>
        </is>
      </c>
      <c r="B448" s="5" t="inlineStr">
        <is>
          <t>C端订阅</t>
        </is>
      </c>
      <c r="C448" s="5" t="inlineStr">
        <is>
          <t>华南</t>
        </is>
      </c>
      <c r="D448" s="38" t="n">
        <v>2027</v>
      </c>
      <c r="E448" s="5" t="inlineStr">
        <is>
          <t>收入</t>
        </is>
      </c>
      <c r="F448" s="8" t="n">
        <v>7560</v>
      </c>
    </row>
    <row r="449">
      <c r="A449" s="5" t="inlineStr">
        <is>
          <t>智擎互联</t>
        </is>
      </c>
      <c r="B449" s="5" t="inlineStr">
        <is>
          <t>C端订阅</t>
        </is>
      </c>
      <c r="C449" s="5" t="inlineStr">
        <is>
          <t>华南</t>
        </is>
      </c>
      <c r="D449" s="38" t="n">
        <v>2027</v>
      </c>
      <c r="E449" s="5" t="inlineStr">
        <is>
          <t>收入</t>
        </is>
      </c>
      <c r="F449" s="8" t="n">
        <v>7560</v>
      </c>
    </row>
    <row r="450">
      <c r="A450" s="5" t="inlineStr">
        <is>
          <t>合并</t>
        </is>
      </c>
      <c r="B450" s="5" t="inlineStr">
        <is>
          <t>C端订阅</t>
        </is>
      </c>
      <c r="C450" s="5" t="inlineStr">
        <is>
          <t>海外</t>
        </is>
      </c>
      <c r="D450" s="38" t="n">
        <v>2027</v>
      </c>
      <c r="E450" s="5" t="inlineStr">
        <is>
          <t>收入</t>
        </is>
      </c>
      <c r="F450" s="8" t="n">
        <v>9450</v>
      </c>
    </row>
    <row r="451">
      <c r="A451" s="5" t="inlineStr">
        <is>
          <t>智擎互联</t>
        </is>
      </c>
      <c r="B451" s="5" t="inlineStr">
        <is>
          <t>C端订阅</t>
        </is>
      </c>
      <c r="C451" s="5" t="inlineStr">
        <is>
          <t>海外</t>
        </is>
      </c>
      <c r="D451" s="38" t="n">
        <v>2027</v>
      </c>
      <c r="E451" s="5" t="inlineStr">
        <is>
          <t>收入</t>
        </is>
      </c>
      <c r="F451" s="8" t="n">
        <v>9450</v>
      </c>
    </row>
    <row r="452">
      <c r="A452" s="5" t="inlineStr">
        <is>
          <t>合并</t>
        </is>
      </c>
      <c r="B452" s="5" t="inlineStr">
        <is>
          <t>广告及其他</t>
        </is>
      </c>
      <c r="C452" s="5" t="inlineStr">
        <is>
          <t>华东</t>
        </is>
      </c>
      <c r="D452" s="38" t="n">
        <v>2027</v>
      </c>
      <c r="E452" s="5" t="inlineStr">
        <is>
          <t>收入</t>
        </is>
      </c>
      <c r="F452" s="8" t="n">
        <v>616</v>
      </c>
    </row>
    <row r="453">
      <c r="A453" s="5" t="inlineStr">
        <is>
          <t>智擎互联</t>
        </is>
      </c>
      <c r="B453" s="5" t="inlineStr">
        <is>
          <t>广告及其他</t>
        </is>
      </c>
      <c r="C453" s="5" t="inlineStr">
        <is>
          <t>华东</t>
        </is>
      </c>
      <c r="D453" s="38" t="n">
        <v>2027</v>
      </c>
      <c r="E453" s="5" t="inlineStr">
        <is>
          <t>收入</t>
        </is>
      </c>
      <c r="F453" s="8" t="n">
        <v>616</v>
      </c>
    </row>
    <row r="454">
      <c r="A454" s="5" t="inlineStr">
        <is>
          <t>合并</t>
        </is>
      </c>
      <c r="B454" s="5" t="inlineStr">
        <is>
          <t>广告及其他</t>
        </is>
      </c>
      <c r="C454" s="5" t="inlineStr">
        <is>
          <t>华北</t>
        </is>
      </c>
      <c r="D454" s="38" t="n">
        <v>2027</v>
      </c>
      <c r="E454" s="5" t="inlineStr">
        <is>
          <t>收入</t>
        </is>
      </c>
      <c r="F454" s="8" t="n">
        <v>594</v>
      </c>
    </row>
    <row r="455">
      <c r="A455" s="5" t="inlineStr">
        <is>
          <t>智擎互联</t>
        </is>
      </c>
      <c r="B455" s="5" t="inlineStr">
        <is>
          <t>广告及其他</t>
        </is>
      </c>
      <c r="C455" s="5" t="inlineStr">
        <is>
          <t>华北</t>
        </is>
      </c>
      <c r="D455" s="38" t="n">
        <v>2027</v>
      </c>
      <c r="E455" s="5" t="inlineStr">
        <is>
          <t>收入</t>
        </is>
      </c>
      <c r="F455" s="8" t="n">
        <v>594</v>
      </c>
    </row>
    <row r="456">
      <c r="A456" s="5" t="inlineStr">
        <is>
          <t>合并</t>
        </is>
      </c>
      <c r="B456" s="5" t="inlineStr">
        <is>
          <t>广告及其他</t>
        </is>
      </c>
      <c r="C456" s="5" t="inlineStr">
        <is>
          <t>华南</t>
        </is>
      </c>
      <c r="D456" s="38" t="n">
        <v>2027</v>
      </c>
      <c r="E456" s="5" t="inlineStr">
        <is>
          <t>收入</t>
        </is>
      </c>
      <c r="F456" s="8" t="n">
        <v>440</v>
      </c>
    </row>
    <row r="457">
      <c r="A457" s="5" t="inlineStr">
        <is>
          <t>智擎互联</t>
        </is>
      </c>
      <c r="B457" s="5" t="inlineStr">
        <is>
          <t>广告及其他</t>
        </is>
      </c>
      <c r="C457" s="5" t="inlineStr">
        <is>
          <t>华南</t>
        </is>
      </c>
      <c r="D457" s="38" t="n">
        <v>2027</v>
      </c>
      <c r="E457" s="5" t="inlineStr">
        <is>
          <t>收入</t>
        </is>
      </c>
      <c r="F457" s="8" t="n">
        <v>440</v>
      </c>
    </row>
    <row r="458">
      <c r="A458" s="5" t="inlineStr">
        <is>
          <t>合并</t>
        </is>
      </c>
      <c r="B458" s="5" t="inlineStr">
        <is>
          <t>广告及其他</t>
        </is>
      </c>
      <c r="C458" s="5" t="inlineStr">
        <is>
          <t>海外</t>
        </is>
      </c>
      <c r="D458" s="38" t="n">
        <v>2027</v>
      </c>
      <c r="E458" s="5" t="inlineStr">
        <is>
          <t>收入</t>
        </is>
      </c>
      <c r="F458" s="8" t="n">
        <v>550</v>
      </c>
    </row>
    <row r="459">
      <c r="A459" s="5" t="inlineStr">
        <is>
          <t>智擎互联</t>
        </is>
      </c>
      <c r="B459" s="5" t="inlineStr">
        <is>
          <t>广告及其他</t>
        </is>
      </c>
      <c r="C459" s="5" t="inlineStr">
        <is>
          <t>海外</t>
        </is>
      </c>
      <c r="D459" s="38" t="n">
        <v>2027</v>
      </c>
      <c r="E459" s="5" t="inlineStr">
        <is>
          <t>收入</t>
        </is>
      </c>
      <c r="F459" s="8" t="n">
        <v>550</v>
      </c>
    </row>
    <row r="460">
      <c r="A460" s="5" t="inlineStr">
        <is>
          <t>智擎云</t>
        </is>
      </c>
      <c r="B460" s="5" t="inlineStr">
        <is>
          <t>MaaS API</t>
        </is>
      </c>
      <c r="C460" s="5" t="inlineStr">
        <is>
          <t>集团</t>
        </is>
      </c>
      <c r="D460" s="38" t="n">
        <v>2027</v>
      </c>
      <c r="E460" s="5" t="inlineStr">
        <is>
          <t>成本</t>
        </is>
      </c>
      <c r="F460" s="8" t="n">
        <v>56122</v>
      </c>
    </row>
    <row r="461">
      <c r="A461" s="5" t="inlineStr">
        <is>
          <t>合并</t>
        </is>
      </c>
      <c r="B461" s="5" t="inlineStr">
        <is>
          <t>MaaS API</t>
        </is>
      </c>
      <c r="C461" s="5" t="inlineStr">
        <is>
          <t>集团</t>
        </is>
      </c>
      <c r="D461" s="38" t="n">
        <v>2027</v>
      </c>
      <c r="E461" s="5" t="inlineStr">
        <is>
          <t>成本</t>
        </is>
      </c>
      <c r="F461" s="8" t="n">
        <v>56122</v>
      </c>
    </row>
    <row r="462">
      <c r="A462" s="5" t="inlineStr">
        <is>
          <t>智擎行业</t>
        </is>
      </c>
      <c r="B462" s="5" t="inlineStr">
        <is>
          <t>私有化部署</t>
        </is>
      </c>
      <c r="C462" s="5" t="inlineStr">
        <is>
          <t>集团</t>
        </is>
      </c>
      <c r="D462" s="38" t="n">
        <v>2027</v>
      </c>
      <c r="E462" s="5" t="inlineStr">
        <is>
          <t>成本</t>
        </is>
      </c>
      <c r="F462" s="8" t="n">
        <v>36600</v>
      </c>
    </row>
    <row r="463">
      <c r="A463" s="5" t="inlineStr">
        <is>
          <t>合并</t>
        </is>
      </c>
      <c r="B463" s="5" t="inlineStr">
        <is>
          <t>私有化部署</t>
        </is>
      </c>
      <c r="C463" s="5" t="inlineStr">
        <is>
          <t>集团</t>
        </is>
      </c>
      <c r="D463" s="38" t="n">
        <v>2027</v>
      </c>
      <c r="E463" s="5" t="inlineStr">
        <is>
          <t>成本</t>
        </is>
      </c>
      <c r="F463" s="8" t="n">
        <v>36600</v>
      </c>
    </row>
    <row r="464">
      <c r="A464" s="5" t="inlineStr">
        <is>
          <t>智擎行业</t>
        </is>
      </c>
      <c r="B464" s="5" t="inlineStr">
        <is>
          <t>行业解决方案</t>
        </is>
      </c>
      <c r="C464" s="5" t="inlineStr">
        <is>
          <t>集团</t>
        </is>
      </c>
      <c r="D464" s="38" t="n">
        <v>2027</v>
      </c>
      <c r="E464" s="5" t="inlineStr">
        <is>
          <t>成本</t>
        </is>
      </c>
      <c r="F464" s="8" t="n">
        <v>8114.4</v>
      </c>
    </row>
    <row r="465">
      <c r="A465" s="5" t="inlineStr">
        <is>
          <t>合并</t>
        </is>
      </c>
      <c r="B465" s="5" t="inlineStr">
        <is>
          <t>行业解决方案</t>
        </is>
      </c>
      <c r="C465" s="5" t="inlineStr">
        <is>
          <t>集团</t>
        </is>
      </c>
      <c r="D465" s="38" t="n">
        <v>2027</v>
      </c>
      <c r="E465" s="5" t="inlineStr">
        <is>
          <t>成本</t>
        </is>
      </c>
      <c r="F465" s="8" t="n">
        <v>8114.4</v>
      </c>
    </row>
    <row r="466">
      <c r="A466" s="5" t="inlineStr">
        <is>
          <t>智擎互联</t>
        </is>
      </c>
      <c r="B466" s="5" t="inlineStr">
        <is>
          <t>C端订阅</t>
        </is>
      </c>
      <c r="C466" s="5" t="inlineStr">
        <is>
          <t>集团</t>
        </is>
      </c>
      <c r="D466" s="38" t="n">
        <v>2027</v>
      </c>
      <c r="E466" s="5" t="inlineStr">
        <is>
          <t>成本</t>
        </is>
      </c>
      <c r="F466" s="8" t="n">
        <v>21840</v>
      </c>
    </row>
    <row r="467">
      <c r="A467" s="5" t="inlineStr">
        <is>
          <t>合并</t>
        </is>
      </c>
      <c r="B467" s="5" t="inlineStr">
        <is>
          <t>C端订阅</t>
        </is>
      </c>
      <c r="C467" s="5" t="inlineStr">
        <is>
          <t>集团</t>
        </is>
      </c>
      <c r="D467" s="38" t="n">
        <v>2027</v>
      </c>
      <c r="E467" s="5" t="inlineStr">
        <is>
          <t>成本</t>
        </is>
      </c>
      <c r="F467" s="8" t="n">
        <v>21840</v>
      </c>
    </row>
    <row r="468">
      <c r="A468" s="5" t="inlineStr">
        <is>
          <t>智擎互联</t>
        </is>
      </c>
      <c r="B468" s="5" t="inlineStr">
        <is>
          <t>广告及其他</t>
        </is>
      </c>
      <c r="C468" s="5" t="inlineStr">
        <is>
          <t>集团</t>
        </is>
      </c>
      <c r="D468" s="38" t="n">
        <v>2027</v>
      </c>
      <c r="E468" s="5" t="inlineStr">
        <is>
          <t>成本</t>
        </is>
      </c>
      <c r="F468" s="8" t="n">
        <v>0</v>
      </c>
    </row>
    <row r="469">
      <c r="A469" s="5" t="inlineStr">
        <is>
          <t>合并</t>
        </is>
      </c>
      <c r="B469" s="5" t="inlineStr">
        <is>
          <t>广告及其他</t>
        </is>
      </c>
      <c r="C469" s="5" t="inlineStr">
        <is>
          <t>集团</t>
        </is>
      </c>
      <c r="D469" s="38" t="n">
        <v>2027</v>
      </c>
      <c r="E469" s="5" t="inlineStr">
        <is>
          <t>成本</t>
        </is>
      </c>
      <c r="F469" s="8" t="n">
        <v>0</v>
      </c>
    </row>
    <row r="470">
      <c r="A470" s="5" t="inlineStr">
        <is>
          <t>智擎研究院</t>
        </is>
      </c>
      <c r="B470" s="5" t="inlineStr">
        <is>
          <t>集团</t>
        </is>
      </c>
      <c r="C470" s="5" t="inlineStr">
        <is>
          <t>集团</t>
        </is>
      </c>
      <c r="D470" s="38" t="n">
        <v>2027</v>
      </c>
      <c r="E470" s="5" t="inlineStr">
        <is>
          <t>研发费用</t>
        </is>
      </c>
      <c r="F470" s="8" t="n">
        <v>82960</v>
      </c>
    </row>
    <row r="471">
      <c r="A471" s="5" t="inlineStr">
        <is>
          <t>合并</t>
        </is>
      </c>
      <c r="B471" s="5" t="inlineStr">
        <is>
          <t>集团</t>
        </is>
      </c>
      <c r="C471" s="5" t="inlineStr">
        <is>
          <t>集团</t>
        </is>
      </c>
      <c r="D471" s="38" t="n">
        <v>2027</v>
      </c>
      <c r="E471" s="5" t="inlineStr">
        <is>
          <t>研发费用</t>
        </is>
      </c>
      <c r="F471" s="8" t="n">
        <v>141060</v>
      </c>
    </row>
    <row r="472">
      <c r="A472" s="5" t="inlineStr">
        <is>
          <t>智擎研究院</t>
        </is>
      </c>
      <c r="B472" s="5" t="inlineStr">
        <is>
          <t>集团</t>
        </is>
      </c>
      <c r="C472" s="5" t="inlineStr">
        <is>
          <t>集团</t>
        </is>
      </c>
      <c r="D472" s="38" t="n">
        <v>2027</v>
      </c>
      <c r="E472" s="5" t="inlineStr">
        <is>
          <t>销售费用</t>
        </is>
      </c>
      <c r="F472" s="8" t="n">
        <v>0</v>
      </c>
    </row>
    <row r="473">
      <c r="A473" s="5" t="inlineStr">
        <is>
          <t>合并</t>
        </is>
      </c>
      <c r="B473" s="5" t="inlineStr">
        <is>
          <t>集团</t>
        </is>
      </c>
      <c r="C473" s="5" t="inlineStr">
        <is>
          <t>集团</t>
        </is>
      </c>
      <c r="D473" s="38" t="n">
        <v>2027</v>
      </c>
      <c r="E473" s="5" t="inlineStr">
        <is>
          <t>销售费用</t>
        </is>
      </c>
      <c r="F473" s="8" t="n">
        <v>22350</v>
      </c>
    </row>
    <row r="474">
      <c r="A474" s="5" t="inlineStr">
        <is>
          <t>智擎研究院</t>
        </is>
      </c>
      <c r="B474" s="5" t="inlineStr">
        <is>
          <t>集团</t>
        </is>
      </c>
      <c r="C474" s="5" t="inlineStr">
        <is>
          <t>集团</t>
        </is>
      </c>
      <c r="D474" s="38" t="n">
        <v>2027</v>
      </c>
      <c r="E474" s="5" t="inlineStr">
        <is>
          <t>管理费用</t>
        </is>
      </c>
      <c r="F474" s="8" t="n">
        <v>1650</v>
      </c>
    </row>
    <row r="475">
      <c r="A475" s="5" t="inlineStr">
        <is>
          <t>合并</t>
        </is>
      </c>
      <c r="B475" s="5" t="inlineStr">
        <is>
          <t>集团</t>
        </is>
      </c>
      <c r="C475" s="5" t="inlineStr">
        <is>
          <t>集团</t>
        </is>
      </c>
      <c r="D475" s="38" t="n">
        <v>2027</v>
      </c>
      <c r="E475" s="5" t="inlineStr">
        <is>
          <t>管理费用</t>
        </is>
      </c>
      <c r="F475" s="8" t="n">
        <v>8525</v>
      </c>
    </row>
    <row r="476">
      <c r="A476" s="5" t="inlineStr">
        <is>
          <t>智擎云</t>
        </is>
      </c>
      <c r="B476" s="5" t="inlineStr">
        <is>
          <t>集团</t>
        </is>
      </c>
      <c r="C476" s="5" t="inlineStr">
        <is>
          <t>集团</t>
        </is>
      </c>
      <c r="D476" s="38" t="n">
        <v>2027</v>
      </c>
      <c r="E476" s="5" t="inlineStr">
        <is>
          <t>研发费用</t>
        </is>
      </c>
      <c r="F476" s="8" t="n">
        <v>31500</v>
      </c>
    </row>
    <row r="477">
      <c r="A477" s="5" t="inlineStr">
        <is>
          <t>合并</t>
        </is>
      </c>
      <c r="B477" s="5" t="inlineStr">
        <is>
          <t>集团</t>
        </is>
      </c>
      <c r="C477" s="5" t="inlineStr">
        <is>
          <t>集团</t>
        </is>
      </c>
      <c r="D477" s="38" t="n">
        <v>2027</v>
      </c>
      <c r="E477" s="5" t="inlineStr">
        <is>
          <t>研发费用</t>
        </is>
      </c>
      <c r="F477" s="8" t="n">
        <v>141060</v>
      </c>
    </row>
    <row r="478">
      <c r="A478" s="5" t="inlineStr">
        <is>
          <t>智擎云</t>
        </is>
      </c>
      <c r="B478" s="5" t="inlineStr">
        <is>
          <t>集团</t>
        </is>
      </c>
      <c r="C478" s="5" t="inlineStr">
        <is>
          <t>集团</t>
        </is>
      </c>
      <c r="D478" s="38" t="n">
        <v>2027</v>
      </c>
      <c r="E478" s="5" t="inlineStr">
        <is>
          <t>销售费用</t>
        </is>
      </c>
      <c r="F478" s="8" t="n">
        <v>7800</v>
      </c>
    </row>
    <row r="479">
      <c r="A479" s="5" t="inlineStr">
        <is>
          <t>合并</t>
        </is>
      </c>
      <c r="B479" s="5" t="inlineStr">
        <is>
          <t>集团</t>
        </is>
      </c>
      <c r="C479" s="5" t="inlineStr">
        <is>
          <t>集团</t>
        </is>
      </c>
      <c r="D479" s="38" t="n">
        <v>2027</v>
      </c>
      <c r="E479" s="5" t="inlineStr">
        <is>
          <t>销售费用</t>
        </is>
      </c>
      <c r="F479" s="8" t="n">
        <v>22350</v>
      </c>
    </row>
    <row r="480">
      <c r="A480" s="5" t="inlineStr">
        <is>
          <t>智擎云</t>
        </is>
      </c>
      <c r="B480" s="5" t="inlineStr">
        <is>
          <t>集团</t>
        </is>
      </c>
      <c r="C480" s="5" t="inlineStr">
        <is>
          <t>集团</t>
        </is>
      </c>
      <c r="D480" s="38" t="n">
        <v>2027</v>
      </c>
      <c r="E480" s="5" t="inlineStr">
        <is>
          <t>管理费用</t>
        </is>
      </c>
      <c r="F480" s="8" t="n">
        <v>3025</v>
      </c>
    </row>
    <row r="481">
      <c r="A481" s="5" t="inlineStr">
        <is>
          <t>合并</t>
        </is>
      </c>
      <c r="B481" s="5" t="inlineStr">
        <is>
          <t>集团</t>
        </is>
      </c>
      <c r="C481" s="5" t="inlineStr">
        <is>
          <t>集团</t>
        </is>
      </c>
      <c r="D481" s="38" t="n">
        <v>2027</v>
      </c>
      <c r="E481" s="5" t="inlineStr">
        <is>
          <t>管理费用</t>
        </is>
      </c>
      <c r="F481" s="8" t="n">
        <v>8525</v>
      </c>
    </row>
    <row r="482">
      <c r="A482" s="5" t="inlineStr">
        <is>
          <t>智擎行业</t>
        </is>
      </c>
      <c r="B482" s="5" t="inlineStr">
        <is>
          <t>集团</t>
        </is>
      </c>
      <c r="C482" s="5" t="inlineStr">
        <is>
          <t>集团</t>
        </is>
      </c>
      <c r="D482" s="38" t="n">
        <v>2027</v>
      </c>
      <c r="E482" s="5" t="inlineStr">
        <is>
          <t>研发费用</t>
        </is>
      </c>
      <c r="F482" s="8" t="n">
        <v>10500</v>
      </c>
    </row>
    <row r="483">
      <c r="A483" s="5" t="inlineStr">
        <is>
          <t>合并</t>
        </is>
      </c>
      <c r="B483" s="5" t="inlineStr">
        <is>
          <t>集团</t>
        </is>
      </c>
      <c r="C483" s="5" t="inlineStr">
        <is>
          <t>集团</t>
        </is>
      </c>
      <c r="D483" s="38" t="n">
        <v>2027</v>
      </c>
      <c r="E483" s="5" t="inlineStr">
        <is>
          <t>研发费用</t>
        </is>
      </c>
      <c r="F483" s="8" t="n">
        <v>141060</v>
      </c>
    </row>
    <row r="484">
      <c r="A484" s="5" t="inlineStr">
        <is>
          <t>智擎行业</t>
        </is>
      </c>
      <c r="B484" s="5" t="inlineStr">
        <is>
          <t>集团</t>
        </is>
      </c>
      <c r="C484" s="5" t="inlineStr">
        <is>
          <t>集团</t>
        </is>
      </c>
      <c r="D484" s="38" t="n">
        <v>2027</v>
      </c>
      <c r="E484" s="5" t="inlineStr">
        <is>
          <t>销售费用</t>
        </is>
      </c>
      <c r="F484" s="8" t="n">
        <v>4500</v>
      </c>
    </row>
    <row r="485">
      <c r="A485" s="5" t="inlineStr">
        <is>
          <t>合并</t>
        </is>
      </c>
      <c r="B485" s="5" t="inlineStr">
        <is>
          <t>集团</t>
        </is>
      </c>
      <c r="C485" s="5" t="inlineStr">
        <is>
          <t>集团</t>
        </is>
      </c>
      <c r="D485" s="38" t="n">
        <v>2027</v>
      </c>
      <c r="E485" s="5" t="inlineStr">
        <is>
          <t>销售费用</t>
        </is>
      </c>
      <c r="F485" s="8" t="n">
        <v>22350</v>
      </c>
    </row>
    <row r="486">
      <c r="A486" s="5" t="inlineStr">
        <is>
          <t>智擎行业</t>
        </is>
      </c>
      <c r="B486" s="5" t="inlineStr">
        <is>
          <t>集团</t>
        </is>
      </c>
      <c r="C486" s="5" t="inlineStr">
        <is>
          <t>集团</t>
        </is>
      </c>
      <c r="D486" s="38" t="n">
        <v>2027</v>
      </c>
      <c r="E486" s="5" t="inlineStr">
        <is>
          <t>管理费用</t>
        </is>
      </c>
      <c r="F486" s="8" t="n">
        <v>2310</v>
      </c>
    </row>
    <row r="487">
      <c r="A487" s="5" t="inlineStr">
        <is>
          <t>合并</t>
        </is>
      </c>
      <c r="B487" s="5" t="inlineStr">
        <is>
          <t>集团</t>
        </is>
      </c>
      <c r="C487" s="5" t="inlineStr">
        <is>
          <t>集团</t>
        </is>
      </c>
      <c r="D487" s="38" t="n">
        <v>2027</v>
      </c>
      <c r="E487" s="5" t="inlineStr">
        <is>
          <t>管理费用</t>
        </is>
      </c>
      <c r="F487" s="8" t="n">
        <v>8525</v>
      </c>
    </row>
    <row r="488">
      <c r="A488" s="5" t="inlineStr">
        <is>
          <t>智擎互联</t>
        </is>
      </c>
      <c r="B488" s="5" t="inlineStr">
        <is>
          <t>集团</t>
        </is>
      </c>
      <c r="C488" s="5" t="inlineStr">
        <is>
          <t>集团</t>
        </is>
      </c>
      <c r="D488" s="38" t="n">
        <v>2027</v>
      </c>
      <c r="E488" s="5" t="inlineStr">
        <is>
          <t>研发费用</t>
        </is>
      </c>
      <c r="F488" s="8" t="n">
        <v>16100</v>
      </c>
    </row>
    <row r="489">
      <c r="A489" s="5" t="inlineStr">
        <is>
          <t>合并</t>
        </is>
      </c>
      <c r="B489" s="5" t="inlineStr">
        <is>
          <t>集团</t>
        </is>
      </c>
      <c r="C489" s="5" t="inlineStr">
        <is>
          <t>集团</t>
        </is>
      </c>
      <c r="D489" s="38" t="n">
        <v>2027</v>
      </c>
      <c r="E489" s="5" t="inlineStr">
        <is>
          <t>研发费用</t>
        </is>
      </c>
      <c r="F489" s="8" t="n">
        <v>141060</v>
      </c>
    </row>
    <row r="490">
      <c r="A490" s="5" t="inlineStr">
        <is>
          <t>智擎互联</t>
        </is>
      </c>
      <c r="B490" s="5" t="inlineStr">
        <is>
          <t>集团</t>
        </is>
      </c>
      <c r="C490" s="5" t="inlineStr">
        <is>
          <t>集团</t>
        </is>
      </c>
      <c r="D490" s="38" t="n">
        <v>2027</v>
      </c>
      <c r="E490" s="5" t="inlineStr">
        <is>
          <t>销售费用</t>
        </is>
      </c>
      <c r="F490" s="8" t="n">
        <v>10050</v>
      </c>
    </row>
    <row r="491">
      <c r="A491" s="5" t="inlineStr">
        <is>
          <t>合并</t>
        </is>
      </c>
      <c r="B491" s="5" t="inlineStr">
        <is>
          <t>集团</t>
        </is>
      </c>
      <c r="C491" s="5" t="inlineStr">
        <is>
          <t>集团</t>
        </is>
      </c>
      <c r="D491" s="38" t="n">
        <v>2027</v>
      </c>
      <c r="E491" s="5" t="inlineStr">
        <is>
          <t>销售费用</t>
        </is>
      </c>
      <c r="F491" s="8" t="n">
        <v>22350</v>
      </c>
    </row>
    <row r="492">
      <c r="A492" s="5" t="inlineStr">
        <is>
          <t>智擎互联</t>
        </is>
      </c>
      <c r="B492" s="5" t="inlineStr">
        <is>
          <t>集团</t>
        </is>
      </c>
      <c r="C492" s="5" t="inlineStr">
        <is>
          <t>集团</t>
        </is>
      </c>
      <c r="D492" s="38" t="n">
        <v>2027</v>
      </c>
      <c r="E492" s="5" t="inlineStr">
        <is>
          <t>管理费用</t>
        </is>
      </c>
      <c r="F492" s="8" t="n">
        <v>1540</v>
      </c>
    </row>
    <row r="493">
      <c r="A493" s="5" t="inlineStr">
        <is>
          <t>合并</t>
        </is>
      </c>
      <c r="B493" s="5" t="inlineStr">
        <is>
          <t>集团</t>
        </is>
      </c>
      <c r="C493" s="5" t="inlineStr">
        <is>
          <t>集团</t>
        </is>
      </c>
      <c r="D493" s="38" t="n">
        <v>2027</v>
      </c>
      <c r="E493" s="5" t="inlineStr">
        <is>
          <t>管理费用</t>
        </is>
      </c>
      <c r="F493" s="8" t="n">
        <v>8525</v>
      </c>
    </row>
    <row r="494">
      <c r="A494" s="5" t="inlineStr">
        <is>
          <t>智擎研究院</t>
        </is>
      </c>
      <c r="B494" s="5" t="inlineStr">
        <is>
          <t>集团</t>
        </is>
      </c>
      <c r="C494" s="5" t="inlineStr">
        <is>
          <t>集团</t>
        </is>
      </c>
      <c r="D494" s="38" t="n">
        <v>2027</v>
      </c>
      <c r="E494" s="5" t="inlineStr">
        <is>
          <t>净利润</t>
        </is>
      </c>
      <c r="F494" s="8" t="n">
        <v>-49510.9</v>
      </c>
    </row>
    <row r="495">
      <c r="A495" s="5" t="inlineStr">
        <is>
          <t>智擎研究院</t>
        </is>
      </c>
      <c r="B495" s="5" t="inlineStr">
        <is>
          <t>集团</t>
        </is>
      </c>
      <c r="C495" s="5" t="inlineStr">
        <is>
          <t>集团</t>
        </is>
      </c>
      <c r="D495" s="38" t="n">
        <v>2027</v>
      </c>
      <c r="E495" s="5" t="inlineStr">
        <is>
          <t>现金</t>
        </is>
      </c>
      <c r="F495" s="8" t="n">
        <v>66909.50027400001</v>
      </c>
    </row>
    <row r="496">
      <c r="A496" s="5" t="inlineStr">
        <is>
          <t>智擎研究院</t>
        </is>
      </c>
      <c r="B496" s="5" t="inlineStr">
        <is>
          <t>集团</t>
        </is>
      </c>
      <c r="C496" s="5" t="inlineStr">
        <is>
          <t>集团</t>
        </is>
      </c>
      <c r="D496" s="38" t="n">
        <v>2027</v>
      </c>
      <c r="E496" s="5" t="inlineStr">
        <is>
          <t>固定资产</t>
        </is>
      </c>
      <c r="F496" s="8" t="n">
        <v>45000</v>
      </c>
    </row>
    <row r="497">
      <c r="A497" s="5" t="inlineStr">
        <is>
          <t>智擎研究院</t>
        </is>
      </c>
      <c r="B497" s="5" t="inlineStr">
        <is>
          <t>集团</t>
        </is>
      </c>
      <c r="C497" s="5" t="inlineStr">
        <is>
          <t>集团</t>
        </is>
      </c>
      <c r="D497" s="38" t="n">
        <v>2027</v>
      </c>
      <c r="E497" s="5" t="inlineStr">
        <is>
          <t>营业收入</t>
        </is>
      </c>
      <c r="F497" s="8" t="n">
        <v>35099.1</v>
      </c>
    </row>
    <row r="498">
      <c r="A498" s="5" t="inlineStr">
        <is>
          <t>智擎研究院</t>
        </is>
      </c>
      <c r="B498" s="5" t="inlineStr">
        <is>
          <t>集团</t>
        </is>
      </c>
      <c r="C498" s="5" t="inlineStr">
        <is>
          <t>集团</t>
        </is>
      </c>
      <c r="D498" s="38" t="n">
        <v>2027</v>
      </c>
      <c r="E498" s="5" t="inlineStr">
        <is>
          <t>毛利</t>
        </is>
      </c>
      <c r="F498" s="8" t="n">
        <v>35099.1</v>
      </c>
    </row>
    <row r="499">
      <c r="A499" s="5" t="inlineStr">
        <is>
          <t>智擎研究院</t>
        </is>
      </c>
      <c r="B499" s="5" t="inlineStr">
        <is>
          <t>集团</t>
        </is>
      </c>
      <c r="C499" s="5" t="inlineStr">
        <is>
          <t>集团</t>
        </is>
      </c>
      <c r="D499" s="38" t="n">
        <v>2027</v>
      </c>
      <c r="E499" s="5" t="inlineStr">
        <is>
          <t>EBITDA</t>
        </is>
      </c>
      <c r="F499" s="8" t="n">
        <v>-8510.9</v>
      </c>
    </row>
    <row r="500">
      <c r="A500" s="5" t="inlineStr">
        <is>
          <t>智擎云</t>
        </is>
      </c>
      <c r="B500" s="5" t="inlineStr">
        <is>
          <t>集团</t>
        </is>
      </c>
      <c r="C500" s="5" t="inlineStr">
        <is>
          <t>集团</t>
        </is>
      </c>
      <c r="D500" s="38" t="n">
        <v>2027</v>
      </c>
      <c r="E500" s="5" t="inlineStr">
        <is>
          <t>净利润</t>
        </is>
      </c>
      <c r="F500" s="8" t="n">
        <v>26597.86</v>
      </c>
    </row>
    <row r="501">
      <c r="A501" s="5" t="inlineStr">
        <is>
          <t>智擎云</t>
        </is>
      </c>
      <c r="B501" s="5" t="inlineStr">
        <is>
          <t>集团</t>
        </is>
      </c>
      <c r="C501" s="5" t="inlineStr">
        <is>
          <t>集团</t>
        </is>
      </c>
      <c r="D501" s="38" t="n">
        <v>2027</v>
      </c>
      <c r="E501" s="5" t="inlineStr">
        <is>
          <t>现金</t>
        </is>
      </c>
      <c r="F501" s="8" t="n">
        <v>90825.72042500001</v>
      </c>
    </row>
    <row r="502">
      <c r="A502" s="5" t="inlineStr">
        <is>
          <t>智擎云</t>
        </is>
      </c>
      <c r="B502" s="5" t="inlineStr">
        <is>
          <t>集团</t>
        </is>
      </c>
      <c r="C502" s="5" t="inlineStr">
        <is>
          <t>集团</t>
        </is>
      </c>
      <c r="D502" s="38" t="n">
        <v>2027</v>
      </c>
      <c r="E502" s="5" t="inlineStr">
        <is>
          <t>固定资产</t>
        </is>
      </c>
      <c r="F502" s="8" t="n">
        <v>35000</v>
      </c>
    </row>
    <row r="503">
      <c r="A503" s="5" t="inlineStr">
        <is>
          <t>智擎云</t>
        </is>
      </c>
      <c r="B503" s="5" t="inlineStr">
        <is>
          <t>集团</t>
        </is>
      </c>
      <c r="C503" s="5" t="inlineStr">
        <is>
          <t>集团</t>
        </is>
      </c>
      <c r="D503" s="38" t="n">
        <v>2027</v>
      </c>
      <c r="E503" s="5" t="inlineStr">
        <is>
          <t>营业收入</t>
        </is>
      </c>
      <c r="F503" s="8" t="n">
        <v>154900.5</v>
      </c>
    </row>
    <row r="504">
      <c r="A504" s="5" t="inlineStr">
        <is>
          <t>智擎云</t>
        </is>
      </c>
      <c r="B504" s="5" t="inlineStr">
        <is>
          <t>集团</t>
        </is>
      </c>
      <c r="C504" s="5" t="inlineStr">
        <is>
          <t>集团</t>
        </is>
      </c>
      <c r="D504" s="38" t="n">
        <v>2027</v>
      </c>
      <c r="E504" s="5" t="inlineStr">
        <is>
          <t>毛利</t>
        </is>
      </c>
      <c r="F504" s="8" t="n">
        <v>73616.60000000001</v>
      </c>
    </row>
    <row r="505">
      <c r="A505" s="5" t="inlineStr">
        <is>
          <t>智擎云</t>
        </is>
      </c>
      <c r="B505" s="5" t="inlineStr">
        <is>
          <t>集团</t>
        </is>
      </c>
      <c r="C505" s="5" t="inlineStr">
        <is>
          <t>集团</t>
        </is>
      </c>
      <c r="D505" s="38" t="n">
        <v>2027</v>
      </c>
      <c r="E505" s="5" t="inlineStr">
        <is>
          <t>EBITDA</t>
        </is>
      </c>
      <c r="F505" s="8" t="n">
        <v>55291.6</v>
      </c>
    </row>
    <row r="506">
      <c r="A506" s="5" t="inlineStr">
        <is>
          <t>智擎行业</t>
        </is>
      </c>
      <c r="B506" s="5" t="inlineStr">
        <is>
          <t>集团</t>
        </is>
      </c>
      <c r="C506" s="5" t="inlineStr">
        <is>
          <t>集团</t>
        </is>
      </c>
      <c r="D506" s="38" t="n">
        <v>2027</v>
      </c>
      <c r="E506" s="5" t="inlineStr">
        <is>
          <t>净利润</t>
        </is>
      </c>
      <c r="F506" s="8" t="n">
        <v>2507.5</v>
      </c>
    </row>
    <row r="507">
      <c r="A507" s="5" t="inlineStr">
        <is>
          <t>智擎行业</t>
        </is>
      </c>
      <c r="B507" s="5" t="inlineStr">
        <is>
          <t>集团</t>
        </is>
      </c>
      <c r="C507" s="5" t="inlineStr">
        <is>
          <t>集团</t>
        </is>
      </c>
      <c r="D507" s="38" t="n">
        <v>2027</v>
      </c>
      <c r="E507" s="5" t="inlineStr">
        <is>
          <t>现金</t>
        </is>
      </c>
      <c r="F507" s="8" t="n">
        <v>51609.856164</v>
      </c>
    </row>
    <row r="508">
      <c r="A508" s="5" t="inlineStr">
        <is>
          <t>智擎行业</t>
        </is>
      </c>
      <c r="B508" s="5" t="inlineStr">
        <is>
          <t>集团</t>
        </is>
      </c>
      <c r="C508" s="5" t="inlineStr">
        <is>
          <t>集团</t>
        </is>
      </c>
      <c r="D508" s="38" t="n">
        <v>2027</v>
      </c>
      <c r="E508" s="5" t="inlineStr">
        <is>
          <t>固定资产</t>
        </is>
      </c>
      <c r="F508" s="8" t="n">
        <v>0</v>
      </c>
    </row>
    <row r="509">
      <c r="A509" s="5" t="inlineStr">
        <is>
          <t>智擎行业</t>
        </is>
      </c>
      <c r="B509" s="5" t="inlineStr">
        <is>
          <t>集团</t>
        </is>
      </c>
      <c r="C509" s="5" t="inlineStr">
        <is>
          <t>集团</t>
        </is>
      </c>
      <c r="D509" s="38" t="n">
        <v>2027</v>
      </c>
      <c r="E509" s="5" t="inlineStr">
        <is>
          <t>营业收入</t>
        </is>
      </c>
      <c r="F509" s="8" t="n">
        <v>79320</v>
      </c>
    </row>
    <row r="510">
      <c r="A510" s="5" t="inlineStr">
        <is>
          <t>智擎行业</t>
        </is>
      </c>
      <c r="B510" s="5" t="inlineStr">
        <is>
          <t>集团</t>
        </is>
      </c>
      <c r="C510" s="5" t="inlineStr">
        <is>
          <t>集团</t>
        </is>
      </c>
      <c r="D510" s="38" t="n">
        <v>2027</v>
      </c>
      <c r="E510" s="5" t="inlineStr">
        <is>
          <t>毛利</t>
        </is>
      </c>
      <c r="F510" s="8" t="n">
        <v>20260</v>
      </c>
    </row>
    <row r="511">
      <c r="A511" s="5" t="inlineStr">
        <is>
          <t>智擎行业</t>
        </is>
      </c>
      <c r="B511" s="5" t="inlineStr">
        <is>
          <t>集团</t>
        </is>
      </c>
      <c r="C511" s="5" t="inlineStr">
        <is>
          <t>集团</t>
        </is>
      </c>
      <c r="D511" s="38" t="n">
        <v>2027</v>
      </c>
      <c r="E511" s="5" t="inlineStr">
        <is>
          <t>EBITDA</t>
        </is>
      </c>
      <c r="F511" s="8" t="n">
        <v>2950</v>
      </c>
    </row>
    <row r="512">
      <c r="A512" s="5" t="inlineStr">
        <is>
          <t>智擎互联</t>
        </is>
      </c>
      <c r="B512" s="5" t="inlineStr">
        <is>
          <t>集团</t>
        </is>
      </c>
      <c r="C512" s="5" t="inlineStr">
        <is>
          <t>集团</t>
        </is>
      </c>
      <c r="D512" s="38" t="n">
        <v>2027</v>
      </c>
      <c r="E512" s="5" t="inlineStr">
        <is>
          <t>净利润</t>
        </is>
      </c>
      <c r="F512" s="8" t="n">
        <v>-13530</v>
      </c>
    </row>
    <row r="513">
      <c r="A513" s="5" t="inlineStr">
        <is>
          <t>智擎互联</t>
        </is>
      </c>
      <c r="B513" s="5" t="inlineStr">
        <is>
          <t>集团</t>
        </is>
      </c>
      <c r="C513" s="5" t="inlineStr">
        <is>
          <t>集团</t>
        </is>
      </c>
      <c r="D513" s="38" t="n">
        <v>2027</v>
      </c>
      <c r="E513" s="5" t="inlineStr">
        <is>
          <t>现金</t>
        </is>
      </c>
      <c r="F513" s="8" t="n">
        <v>10034.236712</v>
      </c>
    </row>
    <row r="514">
      <c r="A514" s="5" t="inlineStr">
        <is>
          <t>智擎互联</t>
        </is>
      </c>
      <c r="B514" s="5" t="inlineStr">
        <is>
          <t>集团</t>
        </is>
      </c>
      <c r="C514" s="5" t="inlineStr">
        <is>
          <t>集团</t>
        </is>
      </c>
      <c r="D514" s="38" t="n">
        <v>2027</v>
      </c>
      <c r="E514" s="5" t="inlineStr">
        <is>
          <t>固定资产</t>
        </is>
      </c>
      <c r="F514" s="8" t="n">
        <v>0</v>
      </c>
    </row>
    <row r="515">
      <c r="A515" s="5" t="inlineStr">
        <is>
          <t>智擎互联</t>
        </is>
      </c>
      <c r="B515" s="5" t="inlineStr">
        <is>
          <t>集团</t>
        </is>
      </c>
      <c r="C515" s="5" t="inlineStr">
        <is>
          <t>集团</t>
        </is>
      </c>
      <c r="D515" s="38" t="n">
        <v>2027</v>
      </c>
      <c r="E515" s="5" t="inlineStr">
        <is>
          <t>营业收入</t>
        </is>
      </c>
      <c r="F515" s="8" t="n">
        <v>40000</v>
      </c>
    </row>
    <row r="516">
      <c r="A516" s="5" t="inlineStr">
        <is>
          <t>智擎互联</t>
        </is>
      </c>
      <c r="B516" s="5" t="inlineStr">
        <is>
          <t>集团</t>
        </is>
      </c>
      <c r="C516" s="5" t="inlineStr">
        <is>
          <t>集团</t>
        </is>
      </c>
      <c r="D516" s="38" t="n">
        <v>2027</v>
      </c>
      <c r="E516" s="5" t="inlineStr">
        <is>
          <t>毛利</t>
        </is>
      </c>
      <c r="F516" s="8" t="n">
        <v>14160</v>
      </c>
    </row>
    <row r="517">
      <c r="A517" s="5" t="inlineStr">
        <is>
          <t>智擎互联</t>
        </is>
      </c>
      <c r="B517" s="5" t="inlineStr">
        <is>
          <t>集团</t>
        </is>
      </c>
      <c r="C517" s="5" t="inlineStr">
        <is>
          <t>集团</t>
        </is>
      </c>
      <c r="D517" s="38" t="n">
        <v>2027</v>
      </c>
      <c r="E517" s="5" t="inlineStr">
        <is>
          <t>EBITDA</t>
        </is>
      </c>
      <c r="F517" s="8" t="n">
        <v>-13530</v>
      </c>
    </row>
    <row r="518">
      <c r="A518" s="5" t="inlineStr">
        <is>
          <t>合并</t>
        </is>
      </c>
      <c r="B518" s="5" t="inlineStr">
        <is>
          <t>集团</t>
        </is>
      </c>
      <c r="C518" s="5" t="inlineStr">
        <is>
          <t>集团</t>
        </is>
      </c>
      <c r="D518" s="38" t="n">
        <v>2027</v>
      </c>
      <c r="E518" s="5" t="inlineStr">
        <is>
          <t>净利润</t>
        </is>
      </c>
      <c r="F518" s="8" t="n">
        <v>-33935.54</v>
      </c>
    </row>
    <row r="519">
      <c r="A519" s="5" t="inlineStr">
        <is>
          <t>合并</t>
        </is>
      </c>
      <c r="B519" s="5" t="inlineStr">
        <is>
          <t>集团</t>
        </is>
      </c>
      <c r="C519" s="5" t="inlineStr">
        <is>
          <t>集团</t>
        </is>
      </c>
      <c r="D519" s="38" t="n">
        <v>2027</v>
      </c>
      <c r="E519" s="5" t="inlineStr">
        <is>
          <t>现金</t>
        </is>
      </c>
      <c r="F519" s="8" t="n">
        <v>219379.313575</v>
      </c>
    </row>
    <row r="520">
      <c r="A520" s="5" t="inlineStr">
        <is>
          <t>合并</t>
        </is>
      </c>
      <c r="B520" s="5" t="inlineStr">
        <is>
          <t>集团</t>
        </is>
      </c>
      <c r="C520" s="5" t="inlineStr">
        <is>
          <t>集团</t>
        </is>
      </c>
      <c r="D520" s="38" t="n">
        <v>2027</v>
      </c>
      <c r="E520" s="5" t="inlineStr">
        <is>
          <t>固定资产</t>
        </is>
      </c>
      <c r="F520" s="8" t="n">
        <v>80000</v>
      </c>
    </row>
    <row r="521">
      <c r="A521" s="5" t="inlineStr">
        <is>
          <t>合并</t>
        </is>
      </c>
      <c r="B521" s="5" t="inlineStr">
        <is>
          <t>集团</t>
        </is>
      </c>
      <c r="C521" s="5" t="inlineStr">
        <is>
          <t>集团</t>
        </is>
      </c>
      <c r="D521" s="38" t="n">
        <v>2027</v>
      </c>
      <c r="E521" s="5" t="inlineStr">
        <is>
          <t>营业收入</t>
        </is>
      </c>
      <c r="F521" s="8" t="n">
        <v>258932.5</v>
      </c>
    </row>
    <row r="522">
      <c r="A522" s="5" t="inlineStr">
        <is>
          <t>合并</t>
        </is>
      </c>
      <c r="B522" s="5" t="inlineStr">
        <is>
          <t>集团</t>
        </is>
      </c>
      <c r="C522" s="5" t="inlineStr">
        <is>
          <t>集团</t>
        </is>
      </c>
      <c r="D522" s="38" t="n">
        <v>2027</v>
      </c>
      <c r="E522" s="5" t="inlineStr">
        <is>
          <t>毛利</t>
        </is>
      </c>
      <c r="F522" s="8" t="n">
        <v>143135.7</v>
      </c>
    </row>
    <row r="523">
      <c r="A523" s="5" t="inlineStr">
        <is>
          <t>合并</t>
        </is>
      </c>
      <c r="B523" s="5" t="inlineStr">
        <is>
          <t>集团</t>
        </is>
      </c>
      <c r="C523" s="5" t="inlineStr">
        <is>
          <t>集团</t>
        </is>
      </c>
      <c r="D523" s="38" t="n">
        <v>2027</v>
      </c>
      <c r="E523" s="5" t="inlineStr">
        <is>
          <t>EBITDA</t>
        </is>
      </c>
      <c r="F523" s="8" t="n">
        <v>36200.7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ED7D31"/>
    <outlinePr summaryBelow="1" summaryRight="1"/>
    <pageSetUpPr/>
  </sheetPr>
  <dimension ref="A1:I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2" customWidth="1" min="8" max="8"/>
    <col width="30" customWidth="1" min="9" max="9"/>
  </cols>
  <sheetData>
    <row r="1">
      <c r="A1" s="15" t="inlineStr">
        <is>
          <t>集团驾驶舱 Dashboard · 四维联动</t>
        </is>
      </c>
      <c r="B1" s="2" t="inlineStr">
        <is>
          <t>主体 × 业务线 × 地区 × 期间 下拉联动，SUMIFS 反查 FactTable | 万元</t>
        </is>
      </c>
    </row>
    <row r="2">
      <c r="A2" s="3" t="inlineStr">
        <is>
          <t>主体</t>
        </is>
      </c>
      <c r="B2" s="39" t="inlineStr">
        <is>
          <t>*</t>
        </is>
      </c>
      <c r="C2" s="3" t="inlineStr">
        <is>
          <t>业务线</t>
        </is>
      </c>
      <c r="D2" s="39" t="inlineStr">
        <is>
          <t>*</t>
        </is>
      </c>
      <c r="E2" s="3" t="inlineStr">
        <is>
          <t>地区</t>
        </is>
      </c>
      <c r="F2" s="39" t="inlineStr">
        <is>
          <t>*</t>
        </is>
      </c>
      <c r="G2" s="3" t="inlineStr">
        <is>
          <t>期间</t>
        </is>
      </c>
      <c r="H2" s="39" t="inlineStr">
        <is>
          <t>*</t>
        </is>
      </c>
      <c r="I2" s="2" t="inlineStr">
        <is>
          <t>“*”=全部</t>
        </is>
      </c>
    </row>
    <row r="3">
      <c r="A3" s="2" t="inlineStr">
        <is>
          <t>取数条件（自动生成）</t>
        </is>
      </c>
      <c r="B3" s="40">
        <f>IF($B$2="*","&lt;&gt;合并",$B$2)</f>
        <v/>
      </c>
      <c r="G3" s="2" t="inlineStr">
        <is>
          <t>期间条件</t>
        </is>
      </c>
      <c r="H3" s="40">
        <f>IF($H$2="*","&gt;0",$H$2)</f>
        <v/>
      </c>
      <c r="I3" s="2" t="inlineStr">
        <is>
          <t>全部主体→&lt;&gt;合并；全部期间→&gt;0</t>
        </is>
      </c>
    </row>
    <row r="5">
      <c r="A5" s="18" t="inlineStr">
        <is>
          <t>── 维度联动 · 损益视图（当期合计 · 万元）──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</row>
    <row r="6">
      <c r="A6" s="3" t="inlineStr">
        <is>
          <t>科目</t>
        </is>
      </c>
      <c r="B6" s="3" t="inlineStr">
        <is>
          <t>口径</t>
        </is>
      </c>
      <c r="C6" s="3" t="inlineStr">
        <is>
          <t>金额</t>
        </is>
      </c>
    </row>
    <row r="7">
      <c r="A7" s="5" t="inlineStr">
        <is>
          <t>营业收入（对外 · 分业务线/地区）</t>
        </is>
      </c>
      <c r="B7" s="2" t="inlineStr">
        <is>
          <t>主体=全部→Σ四家单体对外收入=合并收入</t>
        </is>
      </c>
      <c r="C7" s="8">
        <f>SUMIFS(FactTable!$F:$F,FactTable!$A:$A,$B$3,FactTable!$B:$B,$D$2,FactTable!$C:$C,$F$2,FactTable!$D:$D,$H$3,FactTable!$E:$E,"收入")</f>
        <v/>
      </c>
      <c r="D7" s="8" t="n"/>
      <c r="E7" s="8" t="n"/>
      <c r="F7" s="8" t="n"/>
      <c r="G7" s="8" t="n"/>
    </row>
    <row r="8">
      <c r="A8" s="5" t="inlineStr">
        <is>
          <t>营业成本（分业务线）</t>
        </is>
      </c>
      <c r="B8" s="2" t="inlineStr">
        <is>
          <t>对外成本直加</t>
        </is>
      </c>
      <c r="C8" s="8">
        <f>SUMIFS(FactTable!$F:$F,FactTable!$A:$A,$B$3,FactTable!$B:$B,$D$2,FactTable!$C:$C,$F$2,FactTable!$D:$D,$H$3,FactTable!$E:$E,"成本")</f>
        <v/>
      </c>
      <c r="D8" s="8" t="n"/>
      <c r="E8" s="8" t="n"/>
      <c r="F8" s="8" t="n"/>
      <c r="G8" s="8" t="n"/>
    </row>
    <row r="9">
      <c r="A9" s="3" t="inlineStr">
        <is>
          <t>毛利润（维度口径）</t>
        </is>
      </c>
      <c r="B9" s="2" t="inlineStr">
        <is>
          <t>收入−成本</t>
        </is>
      </c>
      <c r="C9" s="29">
        <f>C7-C8</f>
        <v/>
      </c>
      <c r="D9" s="29" t="n"/>
      <c r="E9" s="29" t="n"/>
      <c r="F9" s="29" t="n"/>
      <c r="G9" s="29" t="n"/>
    </row>
    <row r="10">
      <c r="A10" s="5" t="inlineStr">
        <is>
          <t>研发费用</t>
        </is>
      </c>
      <c r="B10" s="2" t="inlineStr">
        <is>
          <t>无业务线/地区拆分</t>
        </is>
      </c>
      <c r="C10" s="8">
        <f>SUMIFS(FactTable!$F:$F,FactTable!$A:$A,$B$3,FactTable!$B:$B,$D$2,FactTable!$C:$C,$F$2,FactTable!$D:$D,$H$3,FactTable!$E:$E,"研发费用")</f>
        <v/>
      </c>
      <c r="D10" s="8" t="n"/>
      <c r="E10" s="8" t="n"/>
      <c r="F10" s="8" t="n"/>
      <c r="G10" s="8" t="n"/>
    </row>
    <row r="11">
      <c r="A11" s="5" t="inlineStr">
        <is>
          <t>销售费用</t>
        </is>
      </c>
      <c r="B11" s="2" t="inlineStr">
        <is>
          <t>无业务线/地区拆分</t>
        </is>
      </c>
      <c r="C11" s="8">
        <f>SUMIFS(FactTable!$F:$F,FactTable!$A:$A,$B$3,FactTable!$B:$B,$D$2,FactTable!$C:$C,$F$2,FactTable!$D:$D,$H$3,FactTable!$E:$E,"销售费用")</f>
        <v/>
      </c>
      <c r="D11" s="8" t="n"/>
      <c r="E11" s="8" t="n"/>
      <c r="F11" s="8" t="n"/>
      <c r="G11" s="8" t="n"/>
    </row>
    <row r="12">
      <c r="A12" s="5" t="inlineStr">
        <is>
          <t>管理费用</t>
        </is>
      </c>
      <c r="B12" s="2" t="inlineStr">
        <is>
          <t>无业务线/地区拆分</t>
        </is>
      </c>
      <c r="C12" s="8">
        <f>SUMIFS(FactTable!$F:$F,FactTable!$A:$A,$B$3,FactTable!$B:$B,$D$2,FactTable!$C:$C,$F$2,FactTable!$D:$D,$H$3,FactTable!$E:$E,"管理费用")</f>
        <v/>
      </c>
      <c r="D12" s="8" t="n"/>
      <c r="E12" s="8" t="n"/>
      <c r="F12" s="8" t="n"/>
      <c r="G12" s="8" t="n"/>
    </row>
    <row r="13">
      <c r="A13" s="3" t="inlineStr">
        <is>
          <t>EBIT（维度口径）</t>
        </is>
      </c>
      <c r="B13" s="2" t="inlineStr">
        <is>
          <t>毛利−三费</t>
        </is>
      </c>
      <c r="C13" s="29">
        <f>C9-C10-C11-C12</f>
        <v/>
      </c>
      <c r="D13" s="29" t="n"/>
      <c r="E13" s="29" t="n"/>
      <c r="F13" s="29" t="n"/>
      <c r="G13" s="29" t="n"/>
    </row>
    <row r="14">
      <c r="A14" s="3" t="inlineStr">
        <is>
          <t>净利润（全量科目）</t>
        </is>
      </c>
      <c r="B14" s="2" t="inlineStr">
        <is>
          <t>只随主体/期间联动；主体=全部→Σ单体=合并</t>
        </is>
      </c>
      <c r="C14" s="29">
        <f>SUMIFS(FactTable!$F:$F,FactTable!$A:$A,$B$3,FactTable!$B:$B,$D$2,FactTable!$C:$C,$F$2,FactTable!$D:$D,$H$3,FactTable!$E:$E,"净利润")</f>
        <v/>
      </c>
      <c r="D14" s="29" t="n"/>
      <c r="E14" s="29" t="n"/>
      <c r="F14" s="29" t="n"/>
      <c r="G14" s="29" t="n"/>
    </row>
    <row r="15">
      <c r="A15" s="5" t="inlineStr">
        <is>
          <t>EBITDA（全量科目）</t>
        </is>
      </c>
      <c r="B15" s="2" t="inlineStr">
        <is>
          <t>只随主体/期间联动</t>
        </is>
      </c>
      <c r="C15" s="8">
        <f>SUMIFS(FactTable!$F:$F,FactTable!$A:$A,$B$3,FactTable!$B:$B,$D$2,FactTable!$C:$C,$F$2,FactTable!$D:$D,$H$3,FactTable!$E:$E,"EBITDA")</f>
        <v/>
      </c>
      <c r="D15" s="8" t="n"/>
      <c r="E15" s="8" t="n"/>
      <c r="F15" s="8" t="n"/>
      <c r="G15" s="8" t="n"/>
    </row>
    <row r="17">
      <c r="A17" s="18" t="inlineStr">
        <is>
          <t>── 比率 ──</t>
        </is>
      </c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>
      <c r="A18" s="5" t="inlineStr">
        <is>
          <t>毛利率（维度口径）</t>
        </is>
      </c>
      <c r="C18" s="41">
        <f>IF(C7=0,0,C9/C7)</f>
        <v/>
      </c>
      <c r="D18" s="41" t="n"/>
      <c r="E18" s="41" t="n"/>
      <c r="F18" s="41" t="n"/>
      <c r="G18" s="41" t="n"/>
    </row>
    <row r="19">
      <c r="A19" s="5" t="inlineStr">
        <is>
          <t>净利率</t>
        </is>
      </c>
      <c r="C19" s="41">
        <f>IF(C7=0,0,C14/C7)</f>
        <v/>
      </c>
      <c r="D19" s="41" t="n"/>
      <c r="E19" s="41" t="n"/>
      <c r="F19" s="41" t="n"/>
      <c r="G19" s="41" t="n"/>
    </row>
    <row r="20">
      <c r="A20" s="5" t="inlineStr">
        <is>
          <t>EBITDA 率</t>
        </is>
      </c>
      <c r="C20" s="41">
        <f>IF(C7=0,0,C15/C7)</f>
        <v/>
      </c>
      <c r="D20" s="41" t="n"/>
      <c r="E20" s="41" t="n"/>
      <c r="F20" s="41" t="n"/>
      <c r="G20" s="41" t="n"/>
    </row>
    <row r="22">
      <c r="A22" s="42" t="inlineStr">
        <is>
          <t>维度适用性说明：BS/CF 科目（净利润/EBITDA/现金/固定资产）无业务线/地区属性，本 Dashboard 只做 IS 维度联动，全量科目仅随主体×期间联动；维度口径为对外收入/成本直加，与合并抵消口径的差异 = 云 T3 内部毛利（0.45×T3，见 Eliminations/IC_Recon）。</t>
        </is>
      </c>
      <c r="B22" s="43" t="n"/>
      <c r="C22" s="43" t="n"/>
      <c r="D22" s="43" t="n"/>
      <c r="E22" s="43" t="n"/>
      <c r="F22" s="43" t="n"/>
      <c r="G22" s="43" t="n"/>
      <c r="H22" s="43" t="n"/>
      <c r="I22" s="43" t="n"/>
    </row>
    <row r="24">
      <c r="A24" s="18" t="inlineStr">
        <is>
          <t>── ★ 反查断言 · FactTable ↔ Consol_IS（不受下拉影响）──</t>
        </is>
      </c>
      <c r="B24" s="19" t="n"/>
      <c r="C24" s="19" t="n"/>
      <c r="D24" s="19" t="n"/>
      <c r="E24" s="19" t="n"/>
      <c r="F24" s="19" t="n"/>
      <c r="G24" s="19" t="n"/>
      <c r="H24" s="19" t="n"/>
      <c r="I24" s="19" t="n"/>
    </row>
    <row r="25">
      <c r="A25" s="3" t="inlineStr">
        <is>
          <t>科目（万元）</t>
        </is>
      </c>
      <c r="C25" s="16" t="n">
        <v>2023</v>
      </c>
      <c r="D25" s="16" t="n">
        <v>2024</v>
      </c>
      <c r="E25" s="16" t="n">
        <v>2025</v>
      </c>
      <c r="F25" s="17" t="n">
        <v>2026</v>
      </c>
      <c r="G25" s="17" t="n">
        <v>2027</v>
      </c>
    </row>
    <row r="26">
      <c r="A26" s="5" t="inlineStr">
        <is>
          <t>反查 · SUMIFS 全量收入（主体=合并，业务线/地区=*，期间=各年）</t>
        </is>
      </c>
      <c r="B26" s="2" t="inlineStr">
        <is>
          <t>合并粒度行按业务线×地区重建</t>
        </is>
      </c>
      <c r="C26" s="8">
        <f>SUMIFS(FactTable!$F:$F,FactTable!$A:$A,"合并",FactTable!$B:$B,"*",FactTable!$C:$C,"*",FactTable!$D:$D,2023,FactTable!$E:$E,"收入")</f>
        <v/>
      </c>
      <c r="D26" s="8">
        <f>SUMIFS(FactTable!$F:$F,FactTable!$A:$A,"合并",FactTable!$B:$B,"*",FactTable!$C:$C,"*",FactTable!$D:$D,2024,FactTable!$E:$E,"收入")</f>
        <v/>
      </c>
      <c r="E26" s="8">
        <f>SUMIFS(FactTable!$F:$F,FactTable!$A:$A,"合并",FactTable!$B:$B,"*",FactTable!$C:$C,"*",FactTable!$D:$D,2025,FactTable!$E:$E,"收入")</f>
        <v/>
      </c>
      <c r="F26" s="8">
        <f>SUMIFS(FactTable!$F:$F,FactTable!$A:$A,"合并",FactTable!$B:$B,"*",FactTable!$C:$C,"*",FactTable!$D:$D,2026,FactTable!$E:$E,"收入")</f>
        <v/>
      </c>
      <c r="G26" s="8">
        <f>SUMIFS(FactTable!$F:$F,FactTable!$A:$A,"合并",FactTable!$B:$B,"*",FactTable!$C:$C,"*",FactTable!$D:$D,2027,FactTable!$E:$E,"收入")</f>
        <v/>
      </c>
    </row>
    <row r="27">
      <c r="A27" s="32" t="inlineStr">
        <is>
          <t>★ 反查差异 vs Consol_IS!rev（应全 0）</t>
        </is>
      </c>
      <c r="C27" s="44">
        <f>Dashboard!C26-Consol_IS!C6</f>
        <v/>
      </c>
      <c r="D27" s="44">
        <f>Dashboard!D26-Consol_IS!D6</f>
        <v/>
      </c>
      <c r="E27" s="44">
        <f>Dashboard!E26-Consol_IS!E6</f>
        <v/>
      </c>
      <c r="F27" s="44">
        <f>Dashboard!F26-Consol_IS!F6</f>
        <v/>
      </c>
      <c r="G27" s="44">
        <f>Dashboard!G26-Consol_IS!G6</f>
        <v/>
      </c>
    </row>
    <row r="29">
      <c r="A29" s="18" t="inlineStr">
        <is>
          <t>── 5 年趋势 · 合并口径（固定，不受下拉影响）──</t>
        </is>
      </c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>
      <c r="A30" s="3" t="inlineStr">
        <is>
          <t>科目（万元）</t>
        </is>
      </c>
      <c r="C30" s="16" t="n">
        <v>2023</v>
      </c>
      <c r="D30" s="16" t="n">
        <v>2024</v>
      </c>
      <c r="E30" s="16" t="n">
        <v>2025</v>
      </c>
      <c r="F30" s="17" t="n">
        <v>2026</v>
      </c>
      <c r="G30" s="17" t="n">
        <v>2027</v>
      </c>
    </row>
    <row r="31">
      <c r="A31" s="20" t="inlineStr">
        <is>
          <t>合并营业收入</t>
        </is>
      </c>
      <c r="C31" s="24">
        <f>Consol_IS!C6</f>
        <v/>
      </c>
      <c r="D31" s="24">
        <f>Consol_IS!D6</f>
        <v/>
      </c>
      <c r="E31" s="24">
        <f>Consol_IS!E6</f>
        <v/>
      </c>
      <c r="F31" s="24">
        <f>Consol_IS!F6</f>
        <v/>
      </c>
      <c r="G31" s="24">
        <f>Consol_IS!G6</f>
        <v/>
      </c>
    </row>
    <row r="32">
      <c r="A32" s="20" t="inlineStr">
        <is>
          <t>合并毛利润</t>
        </is>
      </c>
      <c r="C32" s="24">
        <f>Consol_IS!C10</f>
        <v/>
      </c>
      <c r="D32" s="24">
        <f>Consol_IS!D10</f>
        <v/>
      </c>
      <c r="E32" s="24">
        <f>Consol_IS!E10</f>
        <v/>
      </c>
      <c r="F32" s="24">
        <f>Consol_IS!F10</f>
        <v/>
      </c>
      <c r="G32" s="24">
        <f>Consol_IS!G10</f>
        <v/>
      </c>
    </row>
    <row r="33">
      <c r="A33" s="20" t="inlineStr">
        <is>
          <t>合并净利润</t>
        </is>
      </c>
      <c r="C33" s="24">
        <f>Consol_IS!C16</f>
        <v/>
      </c>
      <c r="D33" s="24">
        <f>Consol_IS!D16</f>
        <v/>
      </c>
      <c r="E33" s="24">
        <f>Consol_IS!E16</f>
        <v/>
      </c>
      <c r="F33" s="24">
        <f>Consol_IS!F16</f>
        <v/>
      </c>
      <c r="G33" s="24">
        <f>Consol_IS!G16</f>
        <v/>
      </c>
    </row>
    <row r="34">
      <c r="A34" s="20" t="inlineStr">
        <is>
          <t>期末现金</t>
        </is>
      </c>
      <c r="C34" s="24">
        <f>Consol_BS!C4</f>
        <v/>
      </c>
      <c r="D34" s="24">
        <f>Consol_BS!D4</f>
        <v/>
      </c>
      <c r="E34" s="24">
        <f>Consol_BS!E4</f>
        <v/>
      </c>
      <c r="F34" s="24">
        <f>Consol_BS!F4</f>
        <v/>
      </c>
      <c r="G34" s="24">
        <f>Consol_BS!G4</f>
        <v/>
      </c>
    </row>
  </sheetData>
  <dataValidations count="4">
    <dataValidation sqref="B2" showDropDown="0" showInputMessage="0" showErrorMessage="1" allowBlank="0" type="list">
      <formula1>"*,合并,智擎研究院,智擎云,智擎行业,智擎互联"</formula1>
    </dataValidation>
    <dataValidation sqref="D2" showDropDown="0" showInputMessage="0" showErrorMessage="1" allowBlank="0" type="list">
      <formula1>"*,MaaS API,私有化部署,行业解决方案,C端订阅,广告及其他"</formula1>
    </dataValidation>
    <dataValidation sqref="F2" showDropDown="0" showInputMessage="0" showErrorMessage="1" allowBlank="0" type="list">
      <formula1>"*,华东,华北,华南,海外"</formula1>
    </dataValidation>
    <dataValidation sqref="H2" showDropDown="0" showInputMessage="0" showErrorMessage="1" allowBlank="0" type="list">
      <formula1>"*,2023,2024,2025,2026,2027"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ED7D31"/>
    <outlinePr summaryBelow="1" summaryRight="1"/>
    <pageSetUpPr/>
  </sheetPr>
  <dimension ref="A1:G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</cols>
  <sheetData>
    <row r="1">
      <c r="A1" s="15" t="inlineStr">
        <is>
          <t>单位经济模型 Unit Economics</t>
        </is>
      </c>
    </row>
    <row r="2">
      <c r="A2" s="2" t="inlineStr">
        <is>
          <t>上：智擎云 MaaS（token / 客户双视角）· 下：智擎互联 C 端单用户 | 单位见各行标签</t>
        </is>
      </c>
    </row>
    <row r="3">
      <c r="A3" s="3" t="inlineStr">
        <is>
          <t>科目（单位见行标签）</t>
        </is>
      </c>
      <c r="B3" s="3" t="inlineStr">
        <is>
          <t>备注</t>
        </is>
      </c>
      <c r="C3" s="16" t="n">
        <v>2023</v>
      </c>
      <c r="D3" s="16" t="n">
        <v>2024</v>
      </c>
      <c r="E3" s="16" t="n">
        <v>2025</v>
      </c>
      <c r="F3" s="17" t="n">
        <v>2026</v>
      </c>
      <c r="G3" s="17" t="n">
        <v>2027</v>
      </c>
    </row>
    <row r="4">
      <c r="A4" s="18" t="inlineStr">
        <is>
          <t>── 一、智擎云 MaaS · 单 token 视角（每列=年份）──</t>
        </is>
      </c>
      <c r="B4" s="19" t="n"/>
      <c r="C4" s="19" t="n"/>
      <c r="D4" s="19" t="n"/>
      <c r="E4" s="19" t="n"/>
      <c r="F4" s="19" t="n"/>
      <c r="G4" s="19" t="n"/>
    </row>
    <row r="5">
      <c r="A5" s="5" t="inlineStr">
        <is>
          <t xml:space="preserve">    收入单价（元/M tokens）</t>
        </is>
      </c>
      <c r="B5" s="2" t="inlineStr">
        <is>
          <t>Assumptions 混合计价</t>
        </is>
      </c>
      <c r="C5" s="45">
        <f>Assumptions!C12</f>
        <v/>
      </c>
      <c r="D5" s="45">
        <f>Assumptions!D12</f>
        <v/>
      </c>
      <c r="E5" s="45">
        <f>Assumptions!E12</f>
        <v/>
      </c>
      <c r="F5" s="45">
        <f>Assumptions!F12</f>
        <v/>
      </c>
      <c r="G5" s="45">
        <f>Assumptions!G12</f>
        <v/>
      </c>
    </row>
    <row r="6">
      <c r="A6" s="5" t="inlineStr">
        <is>
          <t xml:space="preserve">    推理单位成本（元/M tokens）</t>
        </is>
      </c>
      <c r="B6" s="2" t="inlineStr">
        <is>
          <t>自持+外租算力</t>
        </is>
      </c>
      <c r="C6" s="45">
        <f>Assumptions!C13</f>
        <v/>
      </c>
      <c r="D6" s="45">
        <f>Assumptions!D13</f>
        <v/>
      </c>
      <c r="E6" s="45">
        <f>Assumptions!E13</f>
        <v/>
      </c>
      <c r="F6" s="45">
        <f>Assumptions!F13</f>
        <v/>
      </c>
      <c r="G6" s="45">
        <f>Assumptions!G13</f>
        <v/>
      </c>
    </row>
    <row r="7">
      <c r="A7" s="3" t="inlineStr">
        <is>
          <t xml:space="preserve">    单 token 毛利（元/M tokens）</t>
        </is>
      </c>
      <c r="B7" s="2" t="inlineStr">
        <is>
          <t>价−成本</t>
        </is>
      </c>
      <c r="C7" s="46">
        <f>UE!C5-UE!C6</f>
        <v/>
      </c>
      <c r="D7" s="46">
        <f>UE!D5-UE!D6</f>
        <v/>
      </c>
      <c r="E7" s="46">
        <f>UE!E5-UE!E6</f>
        <v/>
      </c>
      <c r="F7" s="46">
        <f>UE!F5-UE!F6</f>
        <v/>
      </c>
      <c r="G7" s="46">
        <f>UE!G5-UE!G6</f>
        <v/>
      </c>
    </row>
    <row r="8">
      <c r="A8" s="5" t="inlineStr">
        <is>
          <t xml:space="preserve">    单 token 毛利率</t>
        </is>
      </c>
      <c r="B8" s="2" t="inlineStr">
        <is>
          <t>毛利/单价</t>
        </is>
      </c>
      <c r="C8" s="41">
        <f>UE!C7/UE!C5</f>
        <v/>
      </c>
      <c r="D8" s="41">
        <f>UE!D7/UE!D5</f>
        <v/>
      </c>
      <c r="E8" s="41">
        <f>UE!E7/UE!E5</f>
        <v/>
      </c>
      <c r="F8" s="41">
        <f>UE!F7/UE!F5</f>
        <v/>
      </c>
      <c r="G8" s="41">
        <f>UE!G7/UE!G5</f>
        <v/>
      </c>
    </row>
    <row r="9">
      <c r="A9" s="18" t="inlineStr">
        <is>
          <t>── 剪刀差：成本降幅 vs 价格降幅（累计 vs 2023A）──</t>
        </is>
      </c>
      <c r="B9" s="19" t="n"/>
      <c r="C9" s="19" t="n"/>
      <c r="D9" s="19" t="n"/>
      <c r="E9" s="19" t="n"/>
      <c r="F9" s="19" t="n"/>
      <c r="G9" s="19" t="n"/>
    </row>
    <row r="10">
      <c r="A10" s="5" t="inlineStr">
        <is>
          <t xml:space="preserve">    价格累计降幅</t>
        </is>
      </c>
      <c r="C10" s="41">
        <f>(UE!C5-UE!C5)/UE!C5</f>
        <v/>
      </c>
      <c r="D10" s="41">
        <f>(UE!C5-UE!D5)/UE!C5</f>
        <v/>
      </c>
      <c r="E10" s="41">
        <f>(UE!C5-UE!E5)/UE!C5</f>
        <v/>
      </c>
      <c r="F10" s="41">
        <f>(UE!C5-UE!F5)/UE!C5</f>
        <v/>
      </c>
      <c r="G10" s="41">
        <f>(UE!C5-UE!G5)/UE!C5</f>
        <v/>
      </c>
    </row>
    <row r="11">
      <c r="A11" s="5" t="inlineStr">
        <is>
          <t xml:space="preserve">    单位成本累计降幅</t>
        </is>
      </c>
      <c r="B11" s="2" t="inlineStr">
        <is>
          <t>成本降得比价格快</t>
        </is>
      </c>
      <c r="C11" s="41">
        <f>(UE!C6-UE!C6)/UE!C6</f>
        <v/>
      </c>
      <c r="D11" s="41">
        <f>(UE!C6-UE!D6)/UE!C6</f>
        <v/>
      </c>
      <c r="E11" s="41">
        <f>(UE!C6-UE!E6)/UE!C6</f>
        <v/>
      </c>
      <c r="F11" s="41">
        <f>(UE!C6-UE!F6)/UE!C6</f>
        <v/>
      </c>
      <c r="G11" s="41">
        <f>(UE!C6-UE!G6)/UE!C6</f>
        <v/>
      </c>
    </row>
    <row r="12">
      <c r="A12" s="3" t="inlineStr">
        <is>
          <t xml:space="preserve">    剪刀差 = 成本降幅 − 价格降幅</t>
        </is>
      </c>
      <c r="B12" s="2" t="inlineStr">
        <is>
          <t>&gt;0 → 毛利率逐年扩张</t>
        </is>
      </c>
      <c r="C12" s="47">
        <f>UE!C11-UE!C10</f>
        <v/>
      </c>
      <c r="D12" s="47">
        <f>UE!D11-UE!D10</f>
        <v/>
      </c>
      <c r="E12" s="47">
        <f>UE!E11-UE!E10</f>
        <v/>
      </c>
      <c r="F12" s="47">
        <f>UE!F11-UE!F10</f>
        <v/>
      </c>
      <c r="G12" s="47">
        <f>UE!G11-UE!G10</f>
        <v/>
      </c>
    </row>
    <row r="14">
      <c r="A14" s="18" t="inlineStr">
        <is>
          <t>── 二、智擎云 MaaS · 单客户视角 ──</t>
        </is>
      </c>
      <c r="B14" s="19" t="n"/>
      <c r="C14" s="19" t="n"/>
      <c r="D14" s="19" t="n"/>
      <c r="E14" s="19" t="n"/>
      <c r="F14" s="19" t="n"/>
      <c r="G14" s="19" t="n"/>
    </row>
    <row r="15">
      <c r="A15" s="5" t="inlineStr">
        <is>
          <t xml:space="preserve">    付费客户数（家）</t>
        </is>
      </c>
      <c r="C15" s="48">
        <f>Assumptions!C18</f>
        <v/>
      </c>
      <c r="D15" s="48">
        <f>Assumptions!D18</f>
        <v/>
      </c>
      <c r="E15" s="48">
        <f>Assumptions!E18</f>
        <v/>
      </c>
      <c r="F15" s="48">
        <f>Assumptions!F18</f>
        <v/>
      </c>
      <c r="G15" s="48">
        <f>Assumptions!G18</f>
        <v/>
      </c>
    </row>
    <row r="16">
      <c r="A16" s="5" t="inlineStr">
        <is>
          <t xml:space="preserve">    ARR / 客户（万元/家）</t>
        </is>
      </c>
      <c r="B16" s="2" t="inlineStr">
        <is>
          <t>对外收入÷客户数</t>
        </is>
      </c>
      <c r="C16" s="45">
        <f>Cloud_IS!C4/Assumptions!C18</f>
        <v/>
      </c>
      <c r="D16" s="45">
        <f>Cloud_IS!D4/Assumptions!D18</f>
        <v/>
      </c>
      <c r="E16" s="45">
        <f>Cloud_IS!E4/Assumptions!E18</f>
        <v/>
      </c>
      <c r="F16" s="45">
        <f>Cloud_IS!F4/Assumptions!F18</f>
        <v/>
      </c>
      <c r="G16" s="45">
        <f>Cloud_IS!G4/Assumptions!G18</f>
        <v/>
      </c>
    </row>
    <row r="17">
      <c r="A17" s="5" t="inlineStr">
        <is>
          <t xml:space="preserve">    毛利 / 客户（万元/家）</t>
        </is>
      </c>
      <c r="B17" s="2" t="inlineStr">
        <is>
          <t>毛利÷客户数</t>
        </is>
      </c>
      <c r="C17" s="45">
        <f>Cloud_IS!C12/Assumptions!C18</f>
        <v/>
      </c>
      <c r="D17" s="45">
        <f>Cloud_IS!D12/Assumptions!D18</f>
        <v/>
      </c>
      <c r="E17" s="45">
        <f>Cloud_IS!E12/Assumptions!E18</f>
        <v/>
      </c>
      <c r="F17" s="45">
        <f>Cloud_IS!F12/Assumptions!F18</f>
        <v/>
      </c>
      <c r="G17" s="45">
        <f>Cloud_IS!G12/Assumptions!G18</f>
        <v/>
      </c>
    </row>
    <row r="18">
      <c r="A18" s="5" t="inlineStr">
        <is>
          <t xml:space="preserve">    月流失率 churn（常量）</t>
        </is>
      </c>
      <c r="B18" s="2" t="inlineStr">
        <is>
          <t>1.2%/月</t>
        </is>
      </c>
      <c r="C18" s="41">
        <f>Assumptions!C19</f>
        <v/>
      </c>
      <c r="D18" s="41">
        <f>Assumptions!D19</f>
        <v/>
      </c>
      <c r="E18" s="41">
        <f>Assumptions!E19</f>
        <v/>
      </c>
      <c r="F18" s="41">
        <f>Assumptions!F19</f>
        <v/>
      </c>
      <c r="G18" s="41">
        <f>Assumptions!G19</f>
        <v/>
      </c>
    </row>
    <row r="19">
      <c r="A19" s="5" t="inlineStr">
        <is>
          <t xml:space="preserve">    平均生命周期（月）= 1/churn</t>
        </is>
      </c>
      <c r="C19" s="49">
        <f>1/UE!C18</f>
        <v/>
      </c>
      <c r="D19" s="49">
        <f>1/UE!D18</f>
        <v/>
      </c>
      <c r="E19" s="49">
        <f>1/UE!E18</f>
        <v/>
      </c>
      <c r="F19" s="49">
        <f>1/UE!F18</f>
        <v/>
      </c>
      <c r="G19" s="49">
        <f>1/UE!G18</f>
        <v/>
      </c>
    </row>
    <row r="20">
      <c r="A20" s="3" t="inlineStr">
        <is>
          <t xml:space="preserve">    LTV（万元/客户）= 月毛利 × 生命周期</t>
        </is>
      </c>
      <c r="B20" s="2" t="inlineStr">
        <is>
          <t>月毛利=毛利/客户/12</t>
        </is>
      </c>
      <c r="C20" s="46">
        <f>UE!C17/12*UE!C19</f>
        <v/>
      </c>
      <c r="D20" s="46">
        <f>UE!D17/12*UE!D19</f>
        <v/>
      </c>
      <c r="E20" s="46">
        <f>UE!E17/12*UE!E19</f>
        <v/>
      </c>
      <c r="F20" s="46">
        <f>UE!F17/12*UE!F19</f>
        <v/>
      </c>
      <c r="G20" s="46">
        <f>UE!G17/12*UE!G19</f>
        <v/>
      </c>
    </row>
    <row r="21">
      <c r="A21" s="5" t="inlineStr">
        <is>
          <t>CAC 获客成本（万元/客户，输入）</t>
        </is>
      </c>
      <c r="B21" s="2" t="inlineStr">
        <is>
          <t>蓝字输入·本表假设</t>
        </is>
      </c>
      <c r="C21" s="50" t="n">
        <v>3</v>
      </c>
      <c r="D21" s="50" t="n">
        <v>3.5</v>
      </c>
      <c r="E21" s="50" t="n">
        <v>4</v>
      </c>
      <c r="F21" s="50" t="n">
        <v>4.5</v>
      </c>
      <c r="G21" s="50" t="n">
        <v>5</v>
      </c>
    </row>
    <row r="22">
      <c r="A22" s="3" t="inlineStr">
        <is>
          <t xml:space="preserve">    LTV / CAC（倍）</t>
        </is>
      </c>
      <c r="B22" s="2" t="inlineStr">
        <is>
          <t>&gt;3x 为健康</t>
        </is>
      </c>
      <c r="C22" s="51">
        <f>UE!C20/UE!C21</f>
        <v/>
      </c>
      <c r="D22" s="51">
        <f>UE!D20/UE!D21</f>
        <v/>
      </c>
      <c r="E22" s="51">
        <f>UE!E20/UE!E21</f>
        <v/>
      </c>
      <c r="F22" s="51">
        <f>UE!F20/UE!F21</f>
        <v/>
      </c>
      <c r="G22" s="51">
        <f>UE!G20/UE!G21</f>
        <v/>
      </c>
    </row>
    <row r="23">
      <c r="A23" s="5" t="inlineStr">
        <is>
          <t xml:space="preserve">    CAC 回收期（月）= CAC / 月毛利</t>
        </is>
      </c>
      <c r="C23" s="49">
        <f>UE!C21/(UE!C17/12)</f>
        <v/>
      </c>
      <c r="D23" s="49">
        <f>UE!D21/(UE!D17/12)</f>
        <v/>
      </c>
      <c r="E23" s="49">
        <f>UE!E21/(UE!E17/12)</f>
        <v/>
      </c>
      <c r="F23" s="49">
        <f>UE!F21/(UE!F17/12)</f>
        <v/>
      </c>
      <c r="G23" s="49">
        <f>UE!G21/(UE!G17/12)</f>
        <v/>
      </c>
    </row>
    <row r="25">
      <c r="A25" s="18" t="inlineStr">
        <is>
          <t>── 三、智擎互联 · C 端单用户 ──</t>
        </is>
      </c>
      <c r="B25" s="19" t="n"/>
      <c r="C25" s="19" t="n"/>
      <c r="D25" s="19" t="n"/>
      <c r="E25" s="19" t="n"/>
      <c r="F25" s="19" t="n"/>
      <c r="G25" s="19" t="n"/>
    </row>
    <row r="26">
      <c r="A26" s="5" t="inlineStr">
        <is>
          <t xml:space="preserve">    ARPU（元/人/月）</t>
        </is>
      </c>
      <c r="B26" s="2" t="inlineStr">
        <is>
          <t>收入(万)÷MAU(万人)÷12</t>
        </is>
      </c>
      <c r="C26" s="45">
        <f>Toc_IS!C6/Assumptions!C31/12</f>
        <v/>
      </c>
      <c r="D26" s="45">
        <f>Toc_IS!D6/Assumptions!D31/12</f>
        <v/>
      </c>
      <c r="E26" s="45">
        <f>Toc_IS!E6/Assumptions!E31/12</f>
        <v/>
      </c>
      <c r="F26" s="45">
        <f>Toc_IS!F6/Assumptions!F31/12</f>
        <v/>
      </c>
      <c r="G26" s="45">
        <f>Toc_IS!G6/Assumptions!G31/12</f>
        <v/>
      </c>
    </row>
    <row r="27">
      <c r="A27" s="5" t="inlineStr">
        <is>
          <t xml:space="preserve">    推理+带宽成本（元/人/月）</t>
        </is>
      </c>
      <c r="B27" s="2" t="inlineStr">
        <is>
          <t>含付云 T3</t>
        </is>
      </c>
      <c r="C27" s="45">
        <f>Toc_IS!C7/Assumptions!C31/12</f>
        <v/>
      </c>
      <c r="D27" s="45">
        <f>Toc_IS!D7/Assumptions!D31/12</f>
        <v/>
      </c>
      <c r="E27" s="45">
        <f>Toc_IS!E7/Assumptions!E31/12</f>
        <v/>
      </c>
      <c r="F27" s="45">
        <f>Toc_IS!F7/Assumptions!F31/12</f>
        <v/>
      </c>
      <c r="G27" s="45">
        <f>Toc_IS!G7/Assumptions!G31/12</f>
        <v/>
      </c>
    </row>
    <row r="28">
      <c r="A28" s="3" t="inlineStr">
        <is>
          <t xml:space="preserve">    单用户月毛利（元/人/月）</t>
        </is>
      </c>
      <c r="B28" s="2" t="inlineStr">
        <is>
          <t>ARPU−单位成本</t>
        </is>
      </c>
      <c r="C28" s="46">
        <f>UE!C26-UE!C27</f>
        <v/>
      </c>
      <c r="D28" s="46">
        <f>UE!D26-UE!D27</f>
        <v/>
      </c>
      <c r="E28" s="46">
        <f>UE!E26-UE!E27</f>
        <v/>
      </c>
      <c r="F28" s="46">
        <f>UE!F26-UE!F27</f>
        <v/>
      </c>
      <c r="G28" s="46">
        <f>UE!G26-UE!G27</f>
        <v/>
      </c>
    </row>
    <row r="29">
      <c r="A29" s="5" t="inlineStr">
        <is>
          <t xml:space="preserve">    获客 CAC（元/新增用户）</t>
        </is>
      </c>
      <c r="C29" s="49">
        <f>Assumptions!C36</f>
        <v/>
      </c>
      <c r="D29" s="49">
        <f>Assumptions!D36</f>
        <v/>
      </c>
      <c r="E29" s="49">
        <f>Assumptions!E36</f>
        <v/>
      </c>
      <c r="F29" s="49">
        <f>Assumptions!F36</f>
        <v/>
      </c>
      <c r="G29" s="49">
        <f>Assumptions!G36</f>
        <v/>
      </c>
    </row>
    <row r="30">
      <c r="A30" s="3" t="inlineStr">
        <is>
          <t xml:space="preserve">    回本周期（月）= CAC / 月毛利</t>
        </is>
      </c>
      <c r="C30" s="52">
        <f>UE!C29/UE!C28</f>
        <v/>
      </c>
      <c r="D30" s="52">
        <f>UE!D29/UE!D28</f>
        <v/>
      </c>
      <c r="E30" s="52">
        <f>UE!E29/UE!E28</f>
        <v/>
      </c>
      <c r="F30" s="52">
        <f>UE!F29/UE!F28</f>
        <v/>
      </c>
      <c r="G30" s="52">
        <f>UE!G29/UE!G28</f>
        <v/>
      </c>
    </row>
    <row r="31">
      <c r="A31" s="5" t="inlineStr">
        <is>
          <t xml:space="preserve">    订阅收入占比</t>
        </is>
      </c>
      <c r="C31" s="41">
        <f>Toc_IS!C4/Toc_IS!C6</f>
        <v/>
      </c>
      <c r="D31" s="41">
        <f>Toc_IS!D4/Toc_IS!D6</f>
        <v/>
      </c>
      <c r="E31" s="41">
        <f>Toc_IS!E4/Toc_IS!E6</f>
        <v/>
      </c>
      <c r="F31" s="41">
        <f>Toc_IS!F4/Toc_IS!F6</f>
        <v/>
      </c>
      <c r="G31" s="41">
        <f>Toc_IS!G4/Toc_IS!G6</f>
        <v/>
      </c>
    </row>
    <row r="32">
      <c r="A32" s="5" t="inlineStr">
        <is>
          <t xml:space="preserve">    广告收入占比</t>
        </is>
      </c>
      <c r="C32" s="41">
        <f>Toc_IS!C5/Toc_IS!C6</f>
        <v/>
      </c>
      <c r="D32" s="41">
        <f>Toc_IS!D5/Toc_IS!D6</f>
        <v/>
      </c>
      <c r="E32" s="41">
        <f>Toc_IS!E5/Toc_IS!E6</f>
        <v/>
      </c>
      <c r="F32" s="41">
        <f>Toc_IS!F5/Toc_IS!F6</f>
        <v/>
      </c>
      <c r="G32" s="41">
        <f>Toc_IS!G5/Toc_IS!G6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ED7D31"/>
    <outlinePr summaryBelow="1" summaryRight="1"/>
    <pageSetUpPr/>
  </sheetPr>
  <dimension ref="A1:H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</cols>
  <sheetData>
    <row r="1">
      <c r="A1" s="15" t="inlineStr">
        <is>
          <t>私有化项目评估 · ProjectEval</t>
        </is>
      </c>
    </row>
    <row r="2">
      <c r="A2" s="2" t="inlineStr">
        <is>
          <t>智擎行业 · 3 候选项目：现金流 → NPV@WACC / IRR → P1 敏感性 → 决策 | 蓝字=输入 | 万元</t>
        </is>
      </c>
    </row>
    <row r="3">
      <c r="A3" s="3" t="inlineStr">
        <is>
          <t>科目（万元）</t>
        </is>
      </c>
      <c r="B3" s="3" t="inlineStr">
        <is>
          <t>备注</t>
        </is>
      </c>
      <c r="C3" s="37" t="inlineStr">
        <is>
          <t>Y0</t>
        </is>
      </c>
      <c r="D3" s="37" t="inlineStr">
        <is>
          <t>Y1</t>
        </is>
      </c>
      <c r="E3" s="37" t="inlineStr">
        <is>
          <t>Y2</t>
        </is>
      </c>
      <c r="F3" s="37" t="inlineStr">
        <is>
          <t>Y3</t>
        </is>
      </c>
      <c r="G3" s="37" t="inlineStr">
        <is>
          <t>Y4</t>
        </is>
      </c>
      <c r="H3" s="37" t="inlineStr">
        <is>
          <t>Y5</t>
        </is>
      </c>
    </row>
    <row r="4">
      <c r="A4" s="18" t="inlineStr">
        <is>
          <t>── 一、项目输入（蓝字=可调，改动联动现金流 / 指标 / 敏感性）──</t>
        </is>
      </c>
      <c r="B4" s="19" t="n"/>
      <c r="C4" s="19" t="n"/>
      <c r="D4" s="19" t="n"/>
      <c r="E4" s="19" t="n"/>
      <c r="F4" s="19" t="n"/>
      <c r="G4" s="19" t="n"/>
      <c r="H4" s="19" t="n"/>
    </row>
    <row r="5">
      <c r="A5" s="53" t="inlineStr">
        <is>
          <t>P1 · 华北某银行 · 风控大模型</t>
        </is>
      </c>
      <c r="B5" s="54" t="n"/>
      <c r="C5" s="54" t="n"/>
      <c r="D5" s="54" t="n"/>
      <c r="E5" s="54" t="n"/>
      <c r="F5" s="54" t="n"/>
      <c r="G5" s="54" t="n"/>
      <c r="H5" s="54" t="n"/>
    </row>
    <row r="6">
      <c r="A6" s="5" t="inlineStr">
        <is>
          <t>合同额</t>
        </is>
      </c>
      <c r="B6" s="2" t="inlineStr">
        <is>
          <t>私有化一次性合同</t>
        </is>
      </c>
      <c r="C6" s="55" t="n">
        <v>1800</v>
      </c>
    </row>
    <row r="7">
      <c r="A7" s="5" t="inlineStr">
        <is>
          <t>交付年数（年）</t>
        </is>
      </c>
      <c r="B7" s="2" t="inlineStr">
        <is>
          <t>交付期收入按年数均摊</t>
        </is>
      </c>
      <c r="C7" s="56" t="n">
        <v>2</v>
      </c>
    </row>
    <row r="8">
      <c r="A8" s="5" t="inlineStr">
        <is>
          <t>交付成本比例（按年，占合同额）</t>
        </is>
      </c>
      <c r="B8" s="2" t="inlineStr">
        <is>
          <t>C列=Y1、D列=Y2（P1 两年交付）</t>
        </is>
      </c>
      <c r="C8" s="57" t="n">
        <v>0.55</v>
      </c>
      <c r="D8" s="57" t="n">
        <v>0.25</v>
      </c>
    </row>
    <row r="9">
      <c r="A9" s="5" t="inlineStr">
        <is>
          <t>运维收入（万/年，交付完成后）</t>
        </is>
      </c>
      <c r="C9" s="55" t="n">
        <v>180</v>
      </c>
    </row>
    <row r="10">
      <c r="A10" s="5" t="inlineStr">
        <is>
          <t>运维成本率</t>
        </is>
      </c>
      <c r="C10" s="57" t="n">
        <v>0.4</v>
      </c>
    </row>
    <row r="11">
      <c r="A11" s="53" t="inlineStr">
        <is>
          <t>P2 · 华东某车企 · 智能座舱</t>
        </is>
      </c>
      <c r="B11" s="54" t="n"/>
      <c r="C11" s="54" t="n"/>
      <c r="D11" s="54" t="n"/>
      <c r="E11" s="54" t="n"/>
      <c r="F11" s="54" t="n"/>
      <c r="G11" s="54" t="n"/>
      <c r="H11" s="54" t="n"/>
    </row>
    <row r="12">
      <c r="A12" s="5" t="inlineStr">
        <is>
          <t>合同额</t>
        </is>
      </c>
      <c r="B12" s="2" t="inlineStr">
        <is>
          <t>私有化一次性合同</t>
        </is>
      </c>
      <c r="C12" s="55" t="n">
        <v>1200</v>
      </c>
    </row>
    <row r="13">
      <c r="A13" s="5" t="inlineStr">
        <is>
          <t>交付年数（年）</t>
        </is>
      </c>
      <c r="B13" s="2" t="inlineStr">
        <is>
          <t>交付期收入按年数均摊</t>
        </is>
      </c>
      <c r="C13" s="56" t="n">
        <v>1</v>
      </c>
    </row>
    <row r="14">
      <c r="A14" s="5" t="inlineStr">
        <is>
          <t>交付成本比例（按年，占合同额）</t>
        </is>
      </c>
      <c r="B14" s="2" t="inlineStr">
        <is>
          <t>C列=Y1、D列=Y2（P1 两年交付）</t>
        </is>
      </c>
      <c r="C14" s="57" t="n">
        <v>0.65</v>
      </c>
    </row>
    <row r="15">
      <c r="A15" s="5" t="inlineStr">
        <is>
          <t>运维收入（万/年，交付完成后）</t>
        </is>
      </c>
      <c r="C15" s="55" t="n">
        <v>120</v>
      </c>
    </row>
    <row r="16">
      <c r="A16" s="5" t="inlineStr">
        <is>
          <t>运维成本率</t>
        </is>
      </c>
      <c r="C16" s="57" t="n">
        <v>0.35</v>
      </c>
    </row>
    <row r="17">
      <c r="A17" s="53" t="inlineStr">
        <is>
          <t>P3 · 华南某政务 · 热线助手</t>
        </is>
      </c>
      <c r="B17" s="54" t="n"/>
      <c r="C17" s="54" t="n"/>
      <c r="D17" s="54" t="n"/>
      <c r="E17" s="54" t="n"/>
      <c r="F17" s="54" t="n"/>
      <c r="G17" s="54" t="n"/>
      <c r="H17" s="54" t="n"/>
    </row>
    <row r="18">
      <c r="A18" s="5" t="inlineStr">
        <is>
          <t>合同额</t>
        </is>
      </c>
      <c r="B18" s="2" t="inlineStr">
        <is>
          <t>私有化一次性合同</t>
        </is>
      </c>
      <c r="C18" s="55" t="n">
        <v>900</v>
      </c>
    </row>
    <row r="19">
      <c r="A19" s="5" t="inlineStr">
        <is>
          <t>交付年数（年）</t>
        </is>
      </c>
      <c r="B19" s="2" t="inlineStr">
        <is>
          <t>交付期收入按年数均摊</t>
        </is>
      </c>
      <c r="C19" s="56" t="n">
        <v>1</v>
      </c>
    </row>
    <row r="20">
      <c r="A20" s="5" t="inlineStr">
        <is>
          <t>交付成本比例（按年，占合同额）</t>
        </is>
      </c>
      <c r="B20" s="2" t="inlineStr">
        <is>
          <t>C列=Y1、D列=Y2（P1 两年交付）</t>
        </is>
      </c>
      <c r="C20" s="57" t="n">
        <v>0.6</v>
      </c>
    </row>
    <row r="21">
      <c r="A21" s="5" t="inlineStr">
        <is>
          <t>运维收入（万/年，交付完成后）</t>
        </is>
      </c>
      <c r="C21" s="55" t="n">
        <v>150</v>
      </c>
    </row>
    <row r="22">
      <c r="A22" s="5" t="inlineStr">
        <is>
          <t>运维成本率</t>
        </is>
      </c>
      <c r="C22" s="57" t="n">
        <v>0.3</v>
      </c>
    </row>
    <row r="24">
      <c r="A24" s="18" t="inlineStr">
        <is>
          <t>── 二、净现金流（Y0 恒 0；交付期收入=合同额/交付年数、成本=合同额×当年成本比例；交付完成后净额=运维收入×(1−成本率)）──</t>
        </is>
      </c>
      <c r="B24" s="19" t="n"/>
      <c r="C24" s="19" t="n"/>
      <c r="D24" s="19" t="n"/>
      <c r="E24" s="19" t="n"/>
      <c r="F24" s="19" t="n"/>
      <c r="G24" s="19" t="n"/>
      <c r="H24" s="19" t="n"/>
    </row>
    <row r="25">
      <c r="A25" s="5" t="inlineStr">
        <is>
          <t>P1 收入（交付+运维）</t>
        </is>
      </c>
      <c r="B25" s="2" t="inlineStr">
        <is>
          <t>交付期=合同额/交付年数</t>
        </is>
      </c>
      <c r="C25" s="8" t="n">
        <v>0</v>
      </c>
      <c r="D25" s="8">
        <f>$C$6/$C$7</f>
        <v/>
      </c>
      <c r="E25" s="8">
        <f>$C$6/$C$7</f>
        <v/>
      </c>
      <c r="F25" s="8">
        <f>$C$9</f>
        <v/>
      </c>
      <c r="G25" s="8">
        <f>$C$9</f>
        <v/>
      </c>
      <c r="H25" s="8">
        <f>$C$9</f>
        <v/>
      </c>
    </row>
    <row r="26">
      <c r="A26" s="5" t="inlineStr">
        <is>
          <t>P1 成本（交付+运维）</t>
        </is>
      </c>
      <c r="B26" s="2" t="inlineStr">
        <is>
          <t>交付期=合同额×当年成本比例</t>
        </is>
      </c>
      <c r="C26" s="8" t="n">
        <v>0</v>
      </c>
      <c r="D26" s="8">
        <f>$C$6*$C$8</f>
        <v/>
      </c>
      <c r="E26" s="8">
        <f>$C$6*$D$8</f>
        <v/>
      </c>
      <c r="F26" s="8">
        <f>$C$9*$C$10</f>
        <v/>
      </c>
      <c r="G26" s="8">
        <f>$C$9*$C$10</f>
        <v/>
      </c>
      <c r="H26" s="8">
        <f>$C$9*$C$10</f>
        <v/>
      </c>
    </row>
    <row r="27">
      <c r="A27" s="3" t="inlineStr">
        <is>
          <t>P1 净现金流</t>
        </is>
      </c>
      <c r="B27" s="2" t="inlineStr">
        <is>
          <t>收入−成本</t>
        </is>
      </c>
      <c r="C27" s="33" t="n">
        <v>0</v>
      </c>
      <c r="D27" s="33">
        <f>D25-D26</f>
        <v/>
      </c>
      <c r="E27" s="33">
        <f>E25-E26</f>
        <v/>
      </c>
      <c r="F27" s="33">
        <f>F25-F26</f>
        <v/>
      </c>
      <c r="G27" s="33">
        <f>G25-G26</f>
        <v/>
      </c>
      <c r="H27" s="33">
        <f>H25-H26</f>
        <v/>
      </c>
    </row>
    <row r="28">
      <c r="A28" s="5" t="inlineStr">
        <is>
          <t>P2 收入（交付+运维）</t>
        </is>
      </c>
      <c r="B28" s="2" t="inlineStr">
        <is>
          <t>交付期=合同额/交付年数</t>
        </is>
      </c>
      <c r="C28" s="8" t="n">
        <v>0</v>
      </c>
      <c r="D28" s="8">
        <f>$C$12/$C$13</f>
        <v/>
      </c>
      <c r="E28" s="8">
        <f>$C$15</f>
        <v/>
      </c>
      <c r="F28" s="8">
        <f>$C$15</f>
        <v/>
      </c>
      <c r="G28" s="8">
        <f>$C$15</f>
        <v/>
      </c>
      <c r="H28" s="8">
        <f>$C$15</f>
        <v/>
      </c>
    </row>
    <row r="29">
      <c r="A29" s="5" t="inlineStr">
        <is>
          <t>P2 成本（交付+运维）</t>
        </is>
      </c>
      <c r="B29" s="2" t="inlineStr">
        <is>
          <t>交付期=合同额×当年成本比例</t>
        </is>
      </c>
      <c r="C29" s="8" t="n">
        <v>0</v>
      </c>
      <c r="D29" s="8">
        <f>$C$12*$C$14</f>
        <v/>
      </c>
      <c r="E29" s="8">
        <f>$C$15*$C$16</f>
        <v/>
      </c>
      <c r="F29" s="8">
        <f>$C$15*$C$16</f>
        <v/>
      </c>
      <c r="G29" s="8">
        <f>$C$15*$C$16</f>
        <v/>
      </c>
      <c r="H29" s="8">
        <f>$C$15*$C$16</f>
        <v/>
      </c>
    </row>
    <row r="30">
      <c r="A30" s="3" t="inlineStr">
        <is>
          <t>P2 净现金流</t>
        </is>
      </c>
      <c r="B30" s="2" t="inlineStr">
        <is>
          <t>收入−成本</t>
        </is>
      </c>
      <c r="C30" s="33" t="n">
        <v>0</v>
      </c>
      <c r="D30" s="33">
        <f>D28-D29</f>
        <v/>
      </c>
      <c r="E30" s="33">
        <f>E28-E29</f>
        <v/>
      </c>
      <c r="F30" s="33">
        <f>F28-F29</f>
        <v/>
      </c>
      <c r="G30" s="33">
        <f>G28-G29</f>
        <v/>
      </c>
      <c r="H30" s="33">
        <f>H28-H29</f>
        <v/>
      </c>
    </row>
    <row r="31">
      <c r="A31" s="5" t="inlineStr">
        <is>
          <t>P3 收入（交付+运维）</t>
        </is>
      </c>
      <c r="B31" s="2" t="inlineStr">
        <is>
          <t>交付期=合同额/交付年数</t>
        </is>
      </c>
      <c r="C31" s="8" t="n">
        <v>0</v>
      </c>
      <c r="D31" s="8">
        <f>$C$18/$C$19</f>
        <v/>
      </c>
      <c r="E31" s="8">
        <f>$C$21</f>
        <v/>
      </c>
      <c r="F31" s="8">
        <f>$C$21</f>
        <v/>
      </c>
      <c r="G31" s="8">
        <f>$C$21</f>
        <v/>
      </c>
      <c r="H31" s="8">
        <f>$C$21</f>
        <v/>
      </c>
    </row>
    <row r="32">
      <c r="A32" s="5" t="inlineStr">
        <is>
          <t>P3 成本（交付+运维）</t>
        </is>
      </c>
      <c r="B32" s="2" t="inlineStr">
        <is>
          <t>交付期=合同额×当年成本比例</t>
        </is>
      </c>
      <c r="C32" s="8" t="n">
        <v>0</v>
      </c>
      <c r="D32" s="8">
        <f>$C$18*$C$20</f>
        <v/>
      </c>
      <c r="E32" s="8">
        <f>$C$21*$C$22</f>
        <v/>
      </c>
      <c r="F32" s="8">
        <f>$C$21*$C$22</f>
        <v/>
      </c>
      <c r="G32" s="8">
        <f>$C$21*$C$22</f>
        <v/>
      </c>
      <c r="H32" s="8">
        <f>$C$21*$C$22</f>
        <v/>
      </c>
    </row>
    <row r="33">
      <c r="A33" s="3" t="inlineStr">
        <is>
          <t>P3 净现金流</t>
        </is>
      </c>
      <c r="B33" s="2" t="inlineStr">
        <is>
          <t>收入−成本</t>
        </is>
      </c>
      <c r="C33" s="33" t="n">
        <v>0</v>
      </c>
      <c r="D33" s="33">
        <f>D31-D32</f>
        <v/>
      </c>
      <c r="E33" s="33">
        <f>E31-E32</f>
        <v/>
      </c>
      <c r="F33" s="33">
        <f>F31-F32</f>
        <v/>
      </c>
      <c r="G33" s="33">
        <f>G31-G32</f>
        <v/>
      </c>
      <c r="H33" s="33">
        <f>H31-H32</f>
        <v/>
      </c>
    </row>
    <row r="35">
      <c r="A35" s="18" t="inlineStr">
        <is>
          <t>── 三、指标：NPV@WACC 与 IRR（折现率引用 Assumptions!WACC；NPV 折 Y1-5，IRR 用 Y0-5）──</t>
        </is>
      </c>
      <c r="B35" s="19" t="n"/>
      <c r="C35" s="19" t="n"/>
      <c r="D35" s="19" t="n"/>
      <c r="E35" s="19" t="n"/>
      <c r="F35" s="19" t="n"/>
      <c r="G35" s="19" t="n"/>
      <c r="H35" s="19" t="n"/>
    </row>
    <row r="36">
      <c r="A36" s="3" t="inlineStr">
        <is>
          <t>项目</t>
        </is>
      </c>
      <c r="B36" s="2" t="inlineStr">
        <is>
          <t>备注</t>
        </is>
      </c>
      <c r="C36" s="37" t="inlineStr">
        <is>
          <t>NPV@WACC（万）</t>
        </is>
      </c>
      <c r="D36" s="37" t="inlineStr">
        <is>
          <t>IRR</t>
        </is>
      </c>
    </row>
    <row r="37">
      <c r="A37" s="5" t="inlineStr">
        <is>
          <t>P1 华北某银行 · 风控大模型</t>
        </is>
      </c>
      <c r="B37" s="2" t="inlineStr">
        <is>
          <t>2 年交付 + 运维</t>
        </is>
      </c>
      <c r="C37" s="31">
        <f>NPV(Assumptions!C9,D27:H27)</f>
        <v/>
      </c>
      <c r="D37" s="21">
        <f>IFERROR(IRR(C27:H27),"—")</f>
        <v/>
      </c>
    </row>
    <row r="38">
      <c r="A38" s="5" t="inlineStr">
        <is>
          <t>P2 华东某车企 · 智能座舱</t>
        </is>
      </c>
      <c r="B38" s="2" t="inlineStr">
        <is>
          <t>1 年交付 + 运维</t>
        </is>
      </c>
      <c r="C38" s="31">
        <f>NPV(Assumptions!C9,D30:H30)</f>
        <v/>
      </c>
      <c r="D38" s="21">
        <f>IFERROR(IRR(C30:H30),"—")</f>
        <v/>
      </c>
    </row>
    <row r="39">
      <c r="A39" s="5" t="inlineStr">
        <is>
          <t>P3 华南某政务 · 热线助手</t>
        </is>
      </c>
      <c r="B39" s="2" t="inlineStr">
        <is>
          <t>1 年交付 + 运维</t>
        </is>
      </c>
      <c r="C39" s="31">
        <f>NPV(Assumptions!C9,D33:H33)</f>
        <v/>
      </c>
      <c r="D39" s="21">
        <f>IFERROR(IRR(C33:H33),"—")</f>
        <v/>
      </c>
    </row>
    <row r="41">
      <c r="A41" s="18" t="inlineStr">
        <is>
          <t>── 四、敏感性：P1 NPV（万）＝合同额档位（行）× 交付成本比例档位（列），16 格独立公式重算 ──</t>
        </is>
      </c>
      <c r="B41" s="19" t="n"/>
      <c r="C41" s="19" t="n"/>
      <c r="D41" s="19" t="n"/>
      <c r="E41" s="19" t="n"/>
      <c r="F41" s="19" t="n"/>
      <c r="G41" s="19" t="n"/>
      <c r="H41" s="19" t="n"/>
    </row>
    <row r="42">
      <c r="A42" s="5" t="inlineStr">
        <is>
          <t>合同额＼交付成本率</t>
        </is>
      </c>
      <c r="B42" s="2" t="inlineStr">
        <is>
          <t>收入=合同额×行档；成本=合同额×成本比例×列档；运维不变；按 P1 两年交付结构</t>
        </is>
      </c>
      <c r="C42" s="58" t="n">
        <v>0.8</v>
      </c>
      <c r="D42" s="58" t="n">
        <v>0.9</v>
      </c>
      <c r="E42" s="58" t="n">
        <v>1.1</v>
      </c>
      <c r="F42" s="58" t="n">
        <v>1.2</v>
      </c>
    </row>
    <row r="43">
      <c r="A43" s="59" t="n">
        <v>0.8</v>
      </c>
      <c r="C43" s="31">
        <f>NPV(Assumptions!C9,$C$6*$A43/$C$7-$C$6*$C$8*C$42,$C$6*$A43/$C$7-$C$6*$D$8*C$42,$C$9*(1-$C$10),$C$9*(1-$C$10),$C$9*(1-$C$10))</f>
        <v/>
      </c>
      <c r="D43" s="31">
        <f>NPV(Assumptions!C9,$C$6*$A43/$C$7-$C$6*$C$8*D$42,$C$6*$A43/$C$7-$C$6*$D$8*D$42,$C$9*(1-$C$10),$C$9*(1-$C$10),$C$9*(1-$C$10))</f>
        <v/>
      </c>
      <c r="E43" s="31">
        <f>NPV(Assumptions!C9,$C$6*$A43/$C$7-$C$6*$C$8*E$42,$C$6*$A43/$C$7-$C$6*$D$8*E$42,$C$9*(1-$C$10),$C$9*(1-$C$10),$C$9*(1-$C$10))</f>
        <v/>
      </c>
      <c r="F43" s="31">
        <f>NPV(Assumptions!C9,$C$6*$A43/$C$7-$C$6*$C$8*F$42,$C$6*$A43/$C$7-$C$6*$D$8*F$42,$C$9*(1-$C$10),$C$9*(1-$C$10),$C$9*(1-$C$10))</f>
        <v/>
      </c>
    </row>
    <row r="44">
      <c r="A44" s="59" t="n">
        <v>0.9</v>
      </c>
      <c r="C44" s="31">
        <f>NPV(Assumptions!C9,$C$6*$A44/$C$7-$C$6*$C$8*C$42,$C$6*$A44/$C$7-$C$6*$D$8*C$42,$C$9*(1-$C$10),$C$9*(1-$C$10),$C$9*(1-$C$10))</f>
        <v/>
      </c>
      <c r="D44" s="31">
        <f>NPV(Assumptions!C9,$C$6*$A44/$C$7-$C$6*$C$8*D$42,$C$6*$A44/$C$7-$C$6*$D$8*D$42,$C$9*(1-$C$10),$C$9*(1-$C$10),$C$9*(1-$C$10))</f>
        <v/>
      </c>
      <c r="E44" s="31">
        <f>NPV(Assumptions!C9,$C$6*$A44/$C$7-$C$6*$C$8*E$42,$C$6*$A44/$C$7-$C$6*$D$8*E$42,$C$9*(1-$C$10),$C$9*(1-$C$10),$C$9*(1-$C$10))</f>
        <v/>
      </c>
      <c r="F44" s="31">
        <f>NPV(Assumptions!C9,$C$6*$A44/$C$7-$C$6*$C$8*F$42,$C$6*$A44/$C$7-$C$6*$D$8*F$42,$C$9*(1-$C$10),$C$9*(1-$C$10),$C$9*(1-$C$10))</f>
        <v/>
      </c>
    </row>
    <row r="45">
      <c r="A45" s="59" t="n">
        <v>1.1</v>
      </c>
      <c r="C45" s="31">
        <f>NPV(Assumptions!C9,$C$6*$A45/$C$7-$C$6*$C$8*C$42,$C$6*$A45/$C$7-$C$6*$D$8*C$42,$C$9*(1-$C$10),$C$9*(1-$C$10),$C$9*(1-$C$10))</f>
        <v/>
      </c>
      <c r="D45" s="31">
        <f>NPV(Assumptions!C9,$C$6*$A45/$C$7-$C$6*$C$8*D$42,$C$6*$A45/$C$7-$C$6*$D$8*D$42,$C$9*(1-$C$10),$C$9*(1-$C$10),$C$9*(1-$C$10))</f>
        <v/>
      </c>
      <c r="E45" s="31">
        <f>NPV(Assumptions!C9,$C$6*$A45/$C$7-$C$6*$C$8*E$42,$C$6*$A45/$C$7-$C$6*$D$8*E$42,$C$9*(1-$C$10),$C$9*(1-$C$10),$C$9*(1-$C$10))</f>
        <v/>
      </c>
      <c r="F45" s="31">
        <f>NPV(Assumptions!C9,$C$6*$A45/$C$7-$C$6*$C$8*F$42,$C$6*$A45/$C$7-$C$6*$D$8*F$42,$C$9*(1-$C$10),$C$9*(1-$C$10),$C$9*(1-$C$10))</f>
        <v/>
      </c>
    </row>
    <row r="46">
      <c r="A46" s="59" t="n">
        <v>1.2</v>
      </c>
      <c r="C46" s="31">
        <f>NPV(Assumptions!C9,$C$6*$A46/$C$7-$C$6*$C$8*C$42,$C$6*$A46/$C$7-$C$6*$D$8*C$42,$C$9*(1-$C$10),$C$9*(1-$C$10),$C$9*(1-$C$10))</f>
        <v/>
      </c>
      <c r="D46" s="31">
        <f>NPV(Assumptions!C9,$C$6*$A46/$C$7-$C$6*$C$8*D$42,$C$6*$A46/$C$7-$C$6*$D$8*D$42,$C$9*(1-$C$10),$C$9*(1-$C$10),$C$9*(1-$C$10))</f>
        <v/>
      </c>
      <c r="E46" s="31">
        <f>NPV(Assumptions!C9,$C$6*$A46/$C$7-$C$6*$C$8*E$42,$C$6*$A46/$C$7-$C$6*$D$8*E$42,$C$9*(1-$C$10),$C$9*(1-$C$10),$C$9*(1-$C$10))</f>
        <v/>
      </c>
      <c r="F46" s="31">
        <f>NPV(Assumptions!C9,$C$6*$A46/$C$7-$C$6*$C$8*F$42,$C$6*$A46/$C$7-$C$6*$D$8*F$42,$C$9*(1-$C$10),$C$9*(1-$C$10),$C$9*(1-$C$10))</f>
        <v/>
      </c>
    </row>
    <row r="48">
      <c r="A48" s="18" t="inlineStr">
        <is>
          <t>── 五、决策结论 ──</t>
        </is>
      </c>
      <c r="B48" s="19" t="n"/>
      <c r="C48" s="19" t="n"/>
      <c r="D48" s="19" t="n"/>
      <c r="E48" s="19" t="n"/>
      <c r="F48" s="19" t="n"/>
      <c r="G48" s="19" t="n"/>
      <c r="H48" s="19" t="n"/>
    </row>
    <row r="49">
      <c r="A49" s="5" t="inlineStr">
        <is>
          <t>NPV 排名</t>
        </is>
      </c>
      <c r="B49" s="2" t="inlineStr">
        <is>
          <t>WACC=10% 下</t>
        </is>
      </c>
      <c r="C49" s="5" t="inlineStr">
        <is>
          <t>P3（630 万） ＞ P2（607 万） ＞ P1（512 万）</t>
        </is>
      </c>
    </row>
    <row r="50">
      <c r="A50" s="5" t="inlineStr">
        <is>
          <t>IRR</t>
        </is>
      </c>
      <c r="B50" s="2" t="inlineStr">
        <is>
          <t>排序以 NPV 为准</t>
        </is>
      </c>
      <c r="C50" s="5" t="inlineStr">
        <is>
          <t>P1 ≈ 428%（首年仅 −90 万净流出，量级高且口径敏感）；P2/P3 全程净流入为正、IRR 无有限解（显示 —），首年即回收</t>
        </is>
      </c>
    </row>
    <row r="51">
      <c r="A51" s="5" t="inlineStr">
        <is>
          <t>敏感性（P1）</t>
        </is>
      </c>
      <c r="B51" s="2" t="inlineStr">
        <is>
          <t>16 格公式重算</t>
        </is>
      </c>
      <c r="C51" s="5" t="inlineStr">
        <is>
          <t>双向 ±20% 压力下 NPV 区间 -55 ～ 1079 万；最差档（合同额×0.8、成本×1.2）转负——该档位即签约防线，需压成本率或抬合同额</t>
        </is>
      </c>
    </row>
    <row r="52">
      <c r="A52" s="3" t="inlineStr">
        <is>
          <t>建议</t>
        </is>
      </c>
      <c r="B52" s="2" t="inlineStr">
        <is>
          <t>结论基于基准输入</t>
        </is>
      </c>
      <c r="C52" s="5" t="inlineStr">
        <is>
          <t>三项目 NPV 均为正，均可承接；资源受限时优先 P3、P2（交付快、首年回收、运维利润率 70%/65%）；P1 首年净现金流 −90 万，签约应争取预付款/里程碑与成本发生节奏对齐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FF0000"/>
    <outlinePr summaryBelow="1" summaryRight="1"/>
    <pageSetUpPr/>
  </sheetPr>
  <dimension ref="A1:I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2" customWidth="1" min="9" max="9"/>
  </cols>
  <sheetData>
    <row r="1">
      <c r="A1" s="15" t="inlineStr">
        <is>
          <t>勾稽自检面板 · 8 组断言</t>
        </is>
      </c>
    </row>
    <row r="2">
      <c r="A2" s="2" t="inlineStr">
        <is>
          <t>全部公式实时链接 | 任何一格改坏假设，红灯立刻亮 | 万元</t>
        </is>
      </c>
    </row>
    <row r="3">
      <c r="A3" s="3" t="inlineStr">
        <is>
          <t>科目（万元）</t>
        </is>
      </c>
      <c r="B3" s="3" t="inlineStr">
        <is>
          <t>备注</t>
        </is>
      </c>
      <c r="C3" s="16" t="n">
        <v>2023</v>
      </c>
      <c r="D3" s="16" t="n">
        <v>2024</v>
      </c>
      <c r="E3" s="16" t="n">
        <v>2025</v>
      </c>
      <c r="F3" s="17" t="n">
        <v>2026</v>
      </c>
      <c r="G3" s="17" t="n">
        <v>2027</v>
      </c>
      <c r="I3" s="3" t="inlineStr">
        <is>
          <t>状态</t>
        </is>
      </c>
    </row>
    <row r="4">
      <c r="A4" s="18" t="inlineStr">
        <is>
          <t>── C1 各主体资产负债表平衡（资产−负债−权益）──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</row>
    <row r="5">
      <c r="A5" s="5" t="inlineStr">
        <is>
          <t xml:space="preserve">    智擎研究院</t>
        </is>
      </c>
      <c r="B5" s="2" t="inlineStr">
        <is>
          <t>倒挤现金=结构性平衡</t>
        </is>
      </c>
      <c r="C5" s="34">
        <f>HoldCo_BS!C21</f>
        <v/>
      </c>
      <c r="D5" s="34">
        <f>HoldCo_BS!D21</f>
        <v/>
      </c>
      <c r="E5" s="34">
        <f>HoldCo_BS!E21</f>
        <v/>
      </c>
      <c r="F5" s="34">
        <f>HoldCo_BS!F21</f>
        <v/>
      </c>
      <c r="G5" s="34">
        <f>HoldCo_BS!G21</f>
        <v/>
      </c>
      <c r="I5" s="3">
        <f>IF(AND(ABS(C5)&lt;0.01,ABS(D5)&lt;0.01,ABS(E5)&lt;0.01,ABS(F5)&lt;0.01,ABS(G5)&lt;0.01),"✅ PASS","❌ FAIL")</f>
        <v/>
      </c>
    </row>
    <row r="6">
      <c r="A6" s="5" t="inlineStr">
        <is>
          <t xml:space="preserve">    智擎云</t>
        </is>
      </c>
      <c r="C6" s="34">
        <f>Cloud_BS_CF!C12+Cloud_BS_CF!C13+Cloud_BS_CF!C14-Cloud_BS_CF!C8-Cloud_BS_CF!C15</f>
        <v/>
      </c>
      <c r="D6" s="34">
        <f>Cloud_BS_CF!D12+Cloud_BS_CF!D13+Cloud_BS_CF!D14-Cloud_BS_CF!D8-Cloud_BS_CF!D15</f>
        <v/>
      </c>
      <c r="E6" s="34">
        <f>Cloud_BS_CF!E12+Cloud_BS_CF!E13+Cloud_BS_CF!E14-Cloud_BS_CF!E8-Cloud_BS_CF!E15</f>
        <v/>
      </c>
      <c r="F6" s="34">
        <f>Cloud_BS_CF!F12+Cloud_BS_CF!F13+Cloud_BS_CF!F14-Cloud_BS_CF!F8-Cloud_BS_CF!F15</f>
        <v/>
      </c>
      <c r="G6" s="34">
        <f>Cloud_BS_CF!G12+Cloud_BS_CF!G13+Cloud_BS_CF!G14-Cloud_BS_CF!G8-Cloud_BS_CF!G15</f>
        <v/>
      </c>
      <c r="I6" s="3">
        <f>IF(AND(ABS(C6)&lt;0.01,ABS(D6)&lt;0.01,ABS(E6)&lt;0.01,ABS(F6)&lt;0.01,ABS(G6)&lt;0.01),"✅ PASS","❌ FAIL")</f>
        <v/>
      </c>
    </row>
    <row r="7">
      <c r="A7" s="5" t="inlineStr">
        <is>
          <t xml:space="preserve">    智擎行业</t>
        </is>
      </c>
      <c r="C7" s="34">
        <f>Ind_BS_CF!C9+Ind_BS_CF!C10+Ind_BS_CF!C11-Ind_BS_CF!C5-Ind_BS_CF!C12</f>
        <v/>
      </c>
      <c r="D7" s="34">
        <f>Ind_BS_CF!D9+Ind_BS_CF!D10+Ind_BS_CF!D11-Ind_BS_CF!D5-Ind_BS_CF!D12</f>
        <v/>
      </c>
      <c r="E7" s="34">
        <f>Ind_BS_CF!E9+Ind_BS_CF!E10+Ind_BS_CF!E11-Ind_BS_CF!E5-Ind_BS_CF!E12</f>
        <v/>
      </c>
      <c r="F7" s="34">
        <f>Ind_BS_CF!F9+Ind_BS_CF!F10+Ind_BS_CF!F11-Ind_BS_CF!F5-Ind_BS_CF!F12</f>
        <v/>
      </c>
      <c r="G7" s="34">
        <f>Ind_BS_CF!G9+Ind_BS_CF!G10+Ind_BS_CF!G11-Ind_BS_CF!G5-Ind_BS_CF!G12</f>
        <v/>
      </c>
      <c r="I7" s="3">
        <f>IF(AND(ABS(C7)&lt;0.01,ABS(D7)&lt;0.01,ABS(E7)&lt;0.01,ABS(F7)&lt;0.01,ABS(G7)&lt;0.01),"✅ PASS","❌ FAIL")</f>
        <v/>
      </c>
    </row>
    <row r="8">
      <c r="A8" s="5" t="inlineStr">
        <is>
          <t xml:space="preserve">    智擎互联</t>
        </is>
      </c>
      <c r="C8" s="34">
        <f>Toc_BS_CF!C9+Toc_BS_CF!C10+Toc_BS_CF!C11-Toc_BS_CF!C5-Toc_BS_CF!C12</f>
        <v/>
      </c>
      <c r="D8" s="34">
        <f>Toc_BS_CF!D9+Toc_BS_CF!D10+Toc_BS_CF!D11-Toc_BS_CF!D5-Toc_BS_CF!D12</f>
        <v/>
      </c>
      <c r="E8" s="34">
        <f>Toc_BS_CF!E9+Toc_BS_CF!E10+Toc_BS_CF!E11-Toc_BS_CF!E5-Toc_BS_CF!E12</f>
        <v/>
      </c>
      <c r="F8" s="34">
        <f>Toc_BS_CF!F9+Toc_BS_CF!F10+Toc_BS_CF!F11-Toc_BS_CF!F5-Toc_BS_CF!F12</f>
        <v/>
      </c>
      <c r="G8" s="34">
        <f>Toc_BS_CF!G9+Toc_BS_CF!G10+Toc_BS_CF!G11-Toc_BS_CF!G5-Toc_BS_CF!G12</f>
        <v/>
      </c>
      <c r="I8" s="3">
        <f>IF(AND(ABS(C8)&lt;0.01,ABS(D8)&lt;0.01,ABS(E8)&lt;0.01,ABS(F8)&lt;0.01,ABS(G8)&lt;0.01),"✅ PASS","❌ FAIL")</f>
        <v/>
      </c>
    </row>
    <row r="9">
      <c r="A9" s="18" t="inlineStr">
        <is>
          <t>── C2 现金流量表 = 资产负债表现金（间接法交叉验证）──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</row>
    <row r="10">
      <c r="A10" s="5" t="inlineStr">
        <is>
          <t xml:space="preserve">    智擎研究院</t>
        </is>
      </c>
      <c r="C10" s="34">
        <f>HoldCo_CF!C19</f>
        <v/>
      </c>
      <c r="D10" s="34">
        <f>HoldCo_CF!D19</f>
        <v/>
      </c>
      <c r="E10" s="34">
        <f>HoldCo_CF!E19</f>
        <v/>
      </c>
      <c r="F10" s="34">
        <f>HoldCo_CF!F19</f>
        <v/>
      </c>
      <c r="G10" s="34">
        <f>HoldCo_CF!G19</f>
        <v/>
      </c>
      <c r="I10" s="3">
        <f>IF(AND(ABS(C10)&lt;0.01,ABS(D10)&lt;0.01,ABS(E10)&lt;0.01,ABS(F10)&lt;0.01,ABS(G10)&lt;0.01),"✅ PASS","❌ FAIL")</f>
        <v/>
      </c>
    </row>
    <row r="11">
      <c r="A11" s="5" t="inlineStr">
        <is>
          <t xml:space="preserve">    智擎云</t>
        </is>
      </c>
      <c r="C11" s="34">
        <f>Cloud_BS_CF!C29</f>
        <v/>
      </c>
      <c r="D11" s="34">
        <f>Cloud_BS_CF!D29</f>
        <v/>
      </c>
      <c r="E11" s="34">
        <f>Cloud_BS_CF!E29</f>
        <v/>
      </c>
      <c r="F11" s="34">
        <f>Cloud_BS_CF!F29</f>
        <v/>
      </c>
      <c r="G11" s="34">
        <f>Cloud_BS_CF!G29</f>
        <v/>
      </c>
      <c r="I11" s="3">
        <f>IF(AND(ABS(C11)&lt;0.01,ABS(D11)&lt;0.01,ABS(E11)&lt;0.01,ABS(F11)&lt;0.01,ABS(G11)&lt;0.01),"✅ PASS","❌ FAIL")</f>
        <v/>
      </c>
    </row>
    <row r="12">
      <c r="A12" s="5" t="inlineStr">
        <is>
          <t xml:space="preserve">    智擎行业</t>
        </is>
      </c>
      <c r="C12" s="34">
        <f>Ind_BS_CF!C24</f>
        <v/>
      </c>
      <c r="D12" s="34">
        <f>Ind_BS_CF!D24</f>
        <v/>
      </c>
      <c r="E12" s="34">
        <f>Ind_BS_CF!E24</f>
        <v/>
      </c>
      <c r="F12" s="34">
        <f>Ind_BS_CF!F24</f>
        <v/>
      </c>
      <c r="G12" s="34">
        <f>Ind_BS_CF!G24</f>
        <v/>
      </c>
      <c r="I12" s="3">
        <f>IF(AND(ABS(C12)&lt;0.01,ABS(D12)&lt;0.01,ABS(E12)&lt;0.01,ABS(F12)&lt;0.01,ABS(G12)&lt;0.01),"✅ PASS","❌ FAIL")</f>
        <v/>
      </c>
    </row>
    <row r="13">
      <c r="A13" s="5" t="inlineStr">
        <is>
          <t xml:space="preserve">    智擎互联</t>
        </is>
      </c>
      <c r="C13" s="34">
        <f>Toc_BS_CF!C24</f>
        <v/>
      </c>
      <c r="D13" s="34">
        <f>Toc_BS_CF!D24</f>
        <v/>
      </c>
      <c r="E13" s="34">
        <f>Toc_BS_CF!E24</f>
        <v/>
      </c>
      <c r="F13" s="34">
        <f>Toc_BS_CF!F24</f>
        <v/>
      </c>
      <c r="G13" s="34">
        <f>Toc_BS_CF!G24</f>
        <v/>
      </c>
      <c r="I13" s="3">
        <f>IF(AND(ABS(C13)&lt;0.01,ABS(D13)&lt;0.01,ABS(E13)&lt;0.01,ABS(F13)&lt;0.01,ABS(G13)&lt;0.01),"✅ PASS","❌ FAIL")</f>
        <v/>
      </c>
    </row>
    <row r="14">
      <c r="A14" s="5" t="inlineStr">
        <is>
          <t xml:space="preserve">    合并集团</t>
        </is>
      </c>
      <c r="C14" s="34">
        <f>Consol_CF!C17</f>
        <v/>
      </c>
      <c r="D14" s="34">
        <f>Consol_CF!D17</f>
        <v/>
      </c>
      <c r="E14" s="34">
        <f>Consol_CF!E17</f>
        <v/>
      </c>
      <c r="F14" s="34">
        <f>Consol_CF!F17</f>
        <v/>
      </c>
      <c r="G14" s="34">
        <f>Consol_CF!G17</f>
        <v/>
      </c>
      <c r="I14" s="3">
        <f>IF(AND(ABS(C14)&lt;0.01,ABS(D14)&lt;0.01,ABS(E14)&lt;0.01,ABS(F14)&lt;0.01,ABS(G14)&lt;0.01),"✅ PASS","❌ FAIL")</f>
        <v/>
      </c>
    </row>
    <row r="15">
      <c r="A15" s="18" t="inlineStr">
        <is>
          <t>── C3 合并资产负债表平衡 ──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>
      <c r="A16" s="5" t="inlineStr">
        <is>
          <t xml:space="preserve">    合并资产 − 负债 − 权益</t>
        </is>
      </c>
      <c r="C16" s="34">
        <f>Consol_BS!C23</f>
        <v/>
      </c>
      <c r="D16" s="34">
        <f>Consol_BS!D23</f>
        <v/>
      </c>
      <c r="E16" s="34">
        <f>Consol_BS!E23</f>
        <v/>
      </c>
      <c r="F16" s="34">
        <f>Consol_BS!F23</f>
        <v/>
      </c>
      <c r="G16" s="34">
        <f>Consol_BS!G23</f>
        <v/>
      </c>
      <c r="I16" s="3">
        <f>IF(AND(ABS(C16)&lt;0.01,ABS(D16)&lt;0.01,ABS(E16)&lt;0.01,ABS(F16)&lt;0.01,ABS(G16)&lt;0.01),"✅ PASS","❌ FAIL")</f>
        <v/>
      </c>
    </row>
    <row r="17">
      <c r="A17" s="18" t="inlineStr">
        <is>
          <t>── C4 合并 vs Σ单体 交叉验证（合并−Σ应=0）──</t>
        </is>
      </c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>
      <c r="A18" s="5" t="inlineStr">
        <is>
          <t xml:space="preserve">    货币资金</t>
        </is>
      </c>
      <c r="C18" s="34">
        <f>Consol_BS!C4-(HoldCo_BS!C18+Cloud_BS_CF!C15+Ind_BS_CF!C12+Toc_BS_CF!C12)</f>
        <v/>
      </c>
      <c r="D18" s="34">
        <f>Consol_BS!D4-(HoldCo_BS!D18+Cloud_BS_CF!D15+Ind_BS_CF!D12+Toc_BS_CF!D12)</f>
        <v/>
      </c>
      <c r="E18" s="34">
        <f>Consol_BS!E4-(HoldCo_BS!E18+Cloud_BS_CF!E15+Ind_BS_CF!E12+Toc_BS_CF!E12)</f>
        <v/>
      </c>
      <c r="F18" s="34">
        <f>Consol_BS!F4-(HoldCo_BS!F18+Cloud_BS_CF!F15+Ind_BS_CF!F12+Toc_BS_CF!F12)</f>
        <v/>
      </c>
      <c r="G18" s="34">
        <f>Consol_BS!G4-(HoldCo_BS!G18+Cloud_BS_CF!G15+Ind_BS_CF!G12+Toc_BS_CF!G12)</f>
        <v/>
      </c>
      <c r="I18" s="3">
        <f>IF(AND(ABS(C18)&lt;0.01,ABS(D18)&lt;0.01,ABS(E18)&lt;0.01,ABS(F18)&lt;0.01,ABS(G18)&lt;0.01),"✅ PASS","❌ FAIL")</f>
        <v/>
      </c>
    </row>
    <row r="19">
      <c r="A19" s="5" t="inlineStr">
        <is>
          <t xml:space="preserve">    应收账款</t>
        </is>
      </c>
      <c r="C19" s="34">
        <f>Consol_BS!C5-(HoldCo_BS!C4+Cloud_BS_CF!C5+Ind_BS_CF!C5+Toc_BS_CF!C5)</f>
        <v/>
      </c>
      <c r="D19" s="34">
        <f>Consol_BS!D5-(HoldCo_BS!D4+Cloud_BS_CF!D5+Ind_BS_CF!D5+Toc_BS_CF!D5)</f>
        <v/>
      </c>
      <c r="E19" s="34">
        <f>Consol_BS!E5-(HoldCo_BS!E4+Cloud_BS_CF!E5+Ind_BS_CF!E5+Toc_BS_CF!E5)</f>
        <v/>
      </c>
      <c r="F19" s="34">
        <f>Consol_BS!F5-(HoldCo_BS!F4+Cloud_BS_CF!F5+Ind_BS_CF!F5+Toc_BS_CF!F5)</f>
        <v/>
      </c>
      <c r="G19" s="34">
        <f>Consol_BS!G5-(HoldCo_BS!G4+Cloud_BS_CF!G5+Ind_BS_CF!G5+Toc_BS_CF!G5)</f>
        <v/>
      </c>
      <c r="I19" s="3">
        <f>IF(AND(ABS(C19)&lt;0.01,ABS(D19)&lt;0.01,ABS(E19)&lt;0.01,ABS(F19)&lt;0.01,ABS(G19)&lt;0.01),"✅ PASS","❌ FAIL")</f>
        <v/>
      </c>
    </row>
    <row r="20">
      <c r="A20" s="5" t="inlineStr">
        <is>
          <t xml:space="preserve">    净利润</t>
        </is>
      </c>
      <c r="C20" s="34">
        <f>Consol_IS!C16-(HoldCo_IS!C14+Cloud_IS!C18+Ind_IS!C18+Toc_IS!C17)</f>
        <v/>
      </c>
      <c r="D20" s="34">
        <f>Consol_IS!D16-(HoldCo_IS!D14+Cloud_IS!D18+Ind_IS!D18+Toc_IS!D17)</f>
        <v/>
      </c>
      <c r="E20" s="34">
        <f>Consol_IS!E16-(HoldCo_IS!E14+Cloud_IS!E18+Ind_IS!E18+Toc_IS!E17)</f>
        <v/>
      </c>
      <c r="F20" s="34">
        <f>Consol_IS!F16-(HoldCo_IS!F14+Cloud_IS!F18+Ind_IS!F18+Toc_IS!F17)</f>
        <v/>
      </c>
      <c r="G20" s="34">
        <f>Consol_IS!G16-(HoldCo_IS!G14+Cloud_IS!G18+Ind_IS!G18+Toc_IS!G17)</f>
        <v/>
      </c>
      <c r="I20" s="3">
        <f>IF(AND(ABS(C20)&lt;0.01,ABS(D20)&lt;0.01,ABS(E20)&lt;0.01,ABS(F20)&lt;0.01,ABS(G20)&lt;0.01),"✅ PASS","❌ FAIL")</f>
        <v/>
      </c>
    </row>
    <row r="21">
      <c r="A21" s="18" t="inlineStr">
        <is>
          <t>── C5 关联方对账（调节后全 0）──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>
      <c r="A22" s="5" t="inlineStr">
        <is>
          <t xml:space="preserve">    研究院 ↔ 智擎云</t>
        </is>
      </c>
      <c r="C22" s="34">
        <f>IC_Recon!C7</f>
        <v/>
      </c>
      <c r="D22" s="34">
        <f>IC_Recon!D7</f>
        <v/>
      </c>
      <c r="E22" s="34">
        <f>IC_Recon!E7</f>
        <v/>
      </c>
      <c r="F22" s="34">
        <f>IC_Recon!F7</f>
        <v/>
      </c>
      <c r="G22" s="34">
        <f>IC_Recon!G7</f>
        <v/>
      </c>
      <c r="I22" s="3">
        <f>IF(AND(ABS(C22)&lt;0.01,ABS(D22)&lt;0.01,ABS(E22)&lt;0.01,ABS(F22)&lt;0.01,ABS(G22)&lt;0.01),"✅ PASS","❌ FAIL")</f>
        <v/>
      </c>
    </row>
    <row r="23">
      <c r="A23" s="5" t="inlineStr">
        <is>
          <t xml:space="preserve">    研究院 ↔ 智擎行业</t>
        </is>
      </c>
      <c r="C23" s="34">
        <f>IC_Recon!C11</f>
        <v/>
      </c>
      <c r="D23" s="34">
        <f>IC_Recon!D11</f>
        <v/>
      </c>
      <c r="E23" s="34">
        <f>IC_Recon!E11</f>
        <v/>
      </c>
      <c r="F23" s="34">
        <f>IC_Recon!F11</f>
        <v/>
      </c>
      <c r="G23" s="34">
        <f>IC_Recon!G11</f>
        <v/>
      </c>
      <c r="I23" s="3">
        <f>IF(AND(ABS(C23)&lt;0.01,ABS(D23)&lt;0.01,ABS(E23)&lt;0.01,ABS(F23)&lt;0.01,ABS(G23)&lt;0.01),"✅ PASS","❌ FAIL")</f>
        <v/>
      </c>
    </row>
    <row r="24">
      <c r="A24" s="5" t="inlineStr">
        <is>
          <t xml:space="preserve">    研究院 ↔ 智擎互联</t>
        </is>
      </c>
      <c r="C24" s="34">
        <f>IC_Recon!C15</f>
        <v/>
      </c>
      <c r="D24" s="34">
        <f>IC_Recon!D15</f>
        <v/>
      </c>
      <c r="E24" s="34">
        <f>IC_Recon!E15</f>
        <v/>
      </c>
      <c r="F24" s="34">
        <f>IC_Recon!F15</f>
        <v/>
      </c>
      <c r="G24" s="34">
        <f>IC_Recon!G15</f>
        <v/>
      </c>
      <c r="I24" s="3">
        <f>IF(AND(ABS(C24)&lt;0.01,ABS(D24)&lt;0.01,ABS(E24)&lt;0.01,ABS(F24)&lt;0.01,ABS(G24)&lt;0.01),"✅ PASS","❌ FAIL")</f>
        <v/>
      </c>
    </row>
    <row r="25">
      <c r="A25" s="5" t="inlineStr">
        <is>
          <t xml:space="preserve">    智擎云 ↔ 智擎互联（在途调节后）</t>
        </is>
      </c>
      <c r="B25" s="2" t="inlineStr">
        <is>
          <t>调节前差异 220 → 调节归零</t>
        </is>
      </c>
      <c r="C25" s="34">
        <f>IC_Recon!C23</f>
        <v/>
      </c>
      <c r="D25" s="34">
        <f>IC_Recon!D23</f>
        <v/>
      </c>
      <c r="E25" s="34">
        <f>IC_Recon!E23</f>
        <v/>
      </c>
      <c r="F25" s="34">
        <f>IC_Recon!F23</f>
        <v/>
      </c>
      <c r="G25" s="34">
        <f>IC_Recon!G23</f>
        <v/>
      </c>
      <c r="I25" s="3">
        <f>IF(AND(ABS(C25)&lt;0.01,ABS(D25)&lt;0.01,ABS(E25)&lt;0.01,ABS(F25)&lt;0.01,ABS(G25)&lt;0.01),"✅ PASS","❌ FAIL")</f>
        <v/>
      </c>
    </row>
    <row r="26">
      <c r="A26" s="18" t="inlineStr">
        <is>
          <t>── C7 利润滚动：RE[t] − RE[t−1] = 当年 NI ──</t>
        </is>
      </c>
      <c r="B26" s="19" t="n"/>
      <c r="C26" s="19" t="n"/>
      <c r="D26" s="19" t="n"/>
      <c r="E26" s="19" t="n"/>
      <c r="F26" s="19" t="n"/>
      <c r="G26" s="19" t="n"/>
      <c r="H26" s="19" t="n"/>
      <c r="I26" s="19" t="n"/>
    </row>
    <row r="27">
      <c r="A27" s="5" t="inlineStr">
        <is>
          <t xml:space="preserve">    智擎研究院</t>
        </is>
      </c>
      <c r="C27" s="34">
        <f>HoldCo_BS!C15--15000-HoldCo_IS!C14</f>
        <v/>
      </c>
      <c r="D27" s="34">
        <f>HoldCo_BS!D15-HoldCo_BS!C15-HoldCo_IS!D14</f>
        <v/>
      </c>
      <c r="E27" s="34">
        <f>HoldCo_BS!E15-HoldCo_BS!D15-HoldCo_IS!E14</f>
        <v/>
      </c>
      <c r="F27" s="34">
        <f>HoldCo_BS!F15-HoldCo_BS!E15-HoldCo_IS!F14</f>
        <v/>
      </c>
      <c r="G27" s="34">
        <f>HoldCo_BS!G15-HoldCo_BS!F15-HoldCo_IS!G14</f>
        <v/>
      </c>
      <c r="I27" s="3">
        <f>IF(AND(ABS(C27)&lt;0.01,ABS(D27)&lt;0.01,ABS(E27)&lt;0.01,ABS(F27)&lt;0.01,ABS(G27)&lt;0.01),"✅ PASS","❌ FAIL")</f>
        <v/>
      </c>
    </row>
    <row r="28">
      <c r="A28" s="5" t="inlineStr">
        <is>
          <t xml:space="preserve">    智擎云</t>
        </is>
      </c>
      <c r="C28" s="34">
        <f>Cloud_BS_CF!C14--8000-Cloud_IS!C18</f>
        <v/>
      </c>
      <c r="D28" s="34">
        <f>Cloud_BS_CF!D14-Cloud_BS_CF!C14-Cloud_IS!D18</f>
        <v/>
      </c>
      <c r="E28" s="34">
        <f>Cloud_BS_CF!E14-Cloud_BS_CF!D14-Cloud_IS!E18</f>
        <v/>
      </c>
      <c r="F28" s="34">
        <f>Cloud_BS_CF!F14-Cloud_BS_CF!E14-Cloud_IS!F18</f>
        <v/>
      </c>
      <c r="G28" s="34">
        <f>Cloud_BS_CF!G14-Cloud_BS_CF!F14-Cloud_IS!G18</f>
        <v/>
      </c>
      <c r="I28" s="3">
        <f>IF(AND(ABS(C28)&lt;0.01,ABS(D28)&lt;0.01,ABS(E28)&lt;0.01,ABS(F28)&lt;0.01,ABS(G28)&lt;0.01),"✅ PASS","❌ FAIL")</f>
        <v/>
      </c>
    </row>
    <row r="29">
      <c r="A29" s="5" t="inlineStr">
        <is>
          <t xml:space="preserve">    智擎行业</t>
        </is>
      </c>
      <c r="C29" s="34">
        <f>Ind_BS_CF!C11--4000-Ind_IS!C18</f>
        <v/>
      </c>
      <c r="D29" s="34">
        <f>Ind_BS_CF!D11-Ind_BS_CF!C11-Ind_IS!D18</f>
        <v/>
      </c>
      <c r="E29" s="34">
        <f>Ind_BS_CF!E11-Ind_BS_CF!D11-Ind_IS!E18</f>
        <v/>
      </c>
      <c r="F29" s="34">
        <f>Ind_BS_CF!F11-Ind_BS_CF!E11-Ind_IS!F18</f>
        <v/>
      </c>
      <c r="G29" s="34">
        <f>Ind_BS_CF!G11-Ind_BS_CF!F11-Ind_IS!G18</f>
        <v/>
      </c>
      <c r="I29" s="3">
        <f>IF(AND(ABS(C29)&lt;0.01,ABS(D29)&lt;0.01,ABS(E29)&lt;0.01,ABS(F29)&lt;0.01,ABS(G29)&lt;0.01),"✅ PASS","❌ FAIL")</f>
        <v/>
      </c>
    </row>
    <row r="30">
      <c r="A30" s="5" t="inlineStr">
        <is>
          <t xml:space="preserve">    智擎互联</t>
        </is>
      </c>
      <c r="C30" s="34">
        <f>Toc_BS_CF!C11--3000-Toc_IS!C17</f>
        <v/>
      </c>
      <c r="D30" s="34">
        <f>Toc_BS_CF!D11-Toc_BS_CF!C11-Toc_IS!D17</f>
        <v/>
      </c>
      <c r="E30" s="34">
        <f>Toc_BS_CF!E11-Toc_BS_CF!D11-Toc_IS!E17</f>
        <v/>
      </c>
      <c r="F30" s="34">
        <f>Toc_BS_CF!F11-Toc_BS_CF!E11-Toc_IS!F17</f>
        <v/>
      </c>
      <c r="G30" s="34">
        <f>Toc_BS_CF!G11-Toc_BS_CF!F11-Toc_IS!G17</f>
        <v/>
      </c>
      <c r="I30" s="3">
        <f>IF(AND(ABS(C30)&lt;0.01,ABS(D30)&lt;0.01,ABS(E30)&lt;0.01,ABS(F30)&lt;0.01,ABS(G30)&lt;0.01),"✅ PASS","❌ FAIL")</f>
        <v/>
      </c>
    </row>
    <row r="31">
      <c r="A31" s="18" t="inlineStr">
        <is>
          <t>── C8 归母净利润 + 少数股东损益 = 合并净利润 ──</t>
        </is>
      </c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>
      <c r="A32" s="5" t="inlineStr">
        <is>
          <t xml:space="preserve">    归属拆分核对</t>
        </is>
      </c>
      <c r="C32" s="34">
        <f>Consol_IS!C18+Consol_IS!C17-Consol_IS!C16</f>
        <v/>
      </c>
      <c r="D32" s="34">
        <f>Consol_IS!D18+Consol_IS!D17-Consol_IS!D16</f>
        <v/>
      </c>
      <c r="E32" s="34">
        <f>Consol_IS!E18+Consol_IS!E17-Consol_IS!E16</f>
        <v/>
      </c>
      <c r="F32" s="34">
        <f>Consol_IS!F18+Consol_IS!F17-Consol_IS!F16</f>
        <v/>
      </c>
      <c r="G32" s="34">
        <f>Consol_IS!G18+Consol_IS!G17-Consol_IS!G16</f>
        <v/>
      </c>
      <c r="I32" s="3">
        <f>IF(AND(ABS(C32)&lt;0.01,ABS(D32)&lt;0.01,ABS(E32)&lt;0.01,ABS(F32)&lt;0.01,ABS(G32)&lt;0.01),"✅ PASS","❌ FAIL")</f>
        <v/>
      </c>
    </row>
    <row r="34">
      <c r="A34" s="9" t="inlineStr">
        <is>
          <t>总检灯</t>
        </is>
      </c>
      <c r="C34" s="9">
        <f>IF(COUNTIF(I4:I32,"✅ PASS")=22,"🟢 全部通过 — 模型勾稽完整","🔴 存在断言失败，检查上行")</f>
        <v/>
      </c>
    </row>
  </sheetData>
  <mergeCells count="1">
    <mergeCell ref="C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2026-08-29T06:13:52Z</dcterms:created>
  <dcterms:modified xsi:type="dcterms:W3CDTF">2026-08-29T06:13:52Z</dcterms:modified>
</cp:coreProperties>
</file>