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eta" sheetId="2" state="visible" r:id="rId2"/>
    <sheet name="Assumptions" sheetId="3" state="visible" r:id="rId3"/>
    <sheet name="StoreCapex" sheetId="4" state="visible" r:id="rId4"/>
    <sheet name="IS" sheetId="5" state="visible" r:id="rId5"/>
    <sheet name="BS" sheetId="6" state="visible" r:id="rId6"/>
    <sheet name="CF" sheetId="7" state="visible" r:id="rId7"/>
    <sheet name="FactTable" sheetId="8" state="visible" r:id="rId8"/>
    <sheet name="Dashboard" sheetId="9" state="visible" r:id="rId9"/>
    <sheet name="UE" sheetId="10" state="visible" r:id="rId10"/>
    <sheet name="Checks" sheetId="11" state="visible" r:id="rId11"/>
    <sheet name="Calibration" sheetId="12" state="visible" r:id="rId12"/>
  </sheets>
  <definedNames>
    <definedName name="_xlnm._FilterDatabase" localSheetId="1" hidden="1">'Meta'!$A$3:$I$133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&quot;A&quot;"/>
    <numFmt numFmtId="165" formatCode="#,##0.000"/>
    <numFmt numFmtId="166" formatCode="0&quot;E&quot;"/>
    <numFmt numFmtId="167" formatCode="0.0"/>
    <numFmt numFmtId="168" formatCode="0.0%"/>
    <numFmt numFmtId="169" formatCode="#,##0;[Red](#,##0)"/>
    <numFmt numFmtId="170" formatCode="0&quot;年&quot;"/>
    <numFmt numFmtId="171" formatCode="#,##0.0;[Red](#,##0.0)"/>
    <numFmt numFmtId="172" formatCode="0.0&quot;月&quot;"/>
  </numFmts>
  <fonts count="12">
    <font>
      <name val="Calibri"/>
      <family val="2"/>
      <color theme="1"/>
      <sz val="11"/>
      <scheme val="minor"/>
    </font>
    <font>
      <name val="等线"/>
      <b val="1"/>
      <sz val="13"/>
    </font>
    <font>
      <name val="等线"/>
      <color rgb="00808080"/>
      <sz val="9"/>
    </font>
    <font>
      <name val="等线"/>
      <b val="1"/>
      <color rgb="00FFFFFF"/>
    </font>
    <font>
      <name val="等线"/>
      <color rgb="00000000"/>
    </font>
    <font>
      <name val="等线"/>
      <color rgb="000000FF"/>
    </font>
    <font>
      <name val="等线"/>
      <b val="1"/>
      <sz val="14"/>
    </font>
    <font>
      <name val="等线"/>
      <b val="1"/>
    </font>
    <font>
      <name val="等线"/>
      <color rgb="00007000"/>
    </font>
    <font>
      <name val="等线"/>
      <b val="1"/>
      <sz val="12"/>
    </font>
    <font>
      <name val="等线"/>
      <b val="1"/>
      <sz val="20"/>
    </font>
    <font>
      <name val="等线"/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>
        <color rgb="00B0B0B0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11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164" fontId="3" fillId="2" borderId="0" pivotButton="0" quotePrefix="0" xfId="0"/>
    <xf numFmtId="166" fontId="3" fillId="2" borderId="0" pivotButton="0" quotePrefix="0" xfId="0"/>
    <xf numFmtId="169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164" fontId="3" fillId="2" borderId="0" applyAlignment="1" pivotButton="0" quotePrefix="0" xfId="0">
      <alignment horizontal="center"/>
    </xf>
    <xf numFmtId="166" fontId="3" fillId="2" borderId="0" applyAlignment="1" pivotButton="0" quotePrefix="0" xfId="0">
      <alignment horizontal="center"/>
    </xf>
    <xf numFmtId="0" fontId="7" fillId="3" borderId="0" pivotButton="0" quotePrefix="0" xfId="0"/>
    <xf numFmtId="0" fontId="8" fillId="0" borderId="0" pivotButton="0" quotePrefix="0" xfId="0"/>
    <xf numFmtId="3" fontId="8" fillId="0" borderId="0" pivotButton="0" quotePrefix="0" xfId="0"/>
    <xf numFmtId="167" fontId="8" fillId="0" borderId="0" pivotButton="0" quotePrefix="0" xfId="0"/>
    <xf numFmtId="168" fontId="8" fillId="0" borderId="0" pivotButton="0" quotePrefix="0" xfId="0"/>
    <xf numFmtId="1" fontId="8" fillId="0" borderId="0" pivotButton="0" quotePrefix="0" xfId="0"/>
    <xf numFmtId="169" fontId="8" fillId="0" borderId="0" pivotButton="0" quotePrefix="0" xfId="0"/>
    <xf numFmtId="170" fontId="5" fillId="0" borderId="0" pivotButton="0" quotePrefix="0" xfId="0"/>
    <xf numFmtId="169" fontId="4" fillId="0" borderId="1" pivotButton="0" quotePrefix="0" xfId="0"/>
    <xf numFmtId="169" fontId="4" fillId="0" borderId="0" pivotButton="0" quotePrefix="0" xfId="0"/>
    <xf numFmtId="0" fontId="7" fillId="4" borderId="0" pivotButton="0" quotePrefix="0" xfId="0"/>
    <xf numFmtId="169" fontId="4" fillId="4" borderId="1" pivotButton="0" quotePrefix="0" xfId="0"/>
    <xf numFmtId="169" fontId="0" fillId="0" borderId="1" pivotButton="0" quotePrefix="0" xfId="0"/>
    <xf numFmtId="171" fontId="4" fillId="0" borderId="0" pivotButton="0" quotePrefix="0" xfId="0"/>
    <xf numFmtId="0" fontId="0" fillId="5" borderId="0" pivotButton="0" quotePrefix="0" xfId="0"/>
    <xf numFmtId="168" fontId="0" fillId="0" borderId="0" pivotButton="0" quotePrefix="0" xfId="0"/>
    <xf numFmtId="171" fontId="0" fillId="0" borderId="0" pivotButton="0" quotePrefix="0" xfId="0"/>
    <xf numFmtId="172" fontId="4" fillId="0" borderId="1" pivotButton="0" quotePrefix="0" xfId="0"/>
    <xf numFmtId="168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山雾咖啡 · 连锁咖啡财务模型</t>
        </is>
      </c>
    </row>
    <row r="2">
      <c r="A2" s="2" t="inlineStr">
        <is>
          <t>finmodel-builder skill 的第二个行业实例（volume_price：门店×杯量×客单）| 数据与逻辑分离：改数只改 Meta!G | 万元</t>
        </is>
      </c>
    </row>
    <row r="4">
      <c r="A4" s="3" t="inlineStr">
        <is>
          <t>Meta</t>
        </is>
      </c>
      <c r="B4" s="4" t="inlineStr">
        <is>
          <t>数据层宽表——唯一取数源</t>
        </is>
      </c>
    </row>
    <row r="5">
      <c r="A5" s="3" t="inlineStr">
        <is>
          <t>Assumptions</t>
        </is>
      </c>
      <c r="B5" s="4" t="inlineStr">
        <is>
          <t>指标视图层（SUMIFS 取自 Meta）</t>
        </is>
      </c>
    </row>
    <row r="6">
      <c r="A6" s="3" t="inlineStr">
        <is>
          <t>StoreCapex</t>
        </is>
      </c>
      <c r="B6" s="4" t="inlineStr">
        <is>
          <t>门店批次折旧引擎</t>
        </is>
      </c>
    </row>
    <row r="7">
      <c r="A7" s="3" t="inlineStr">
        <is>
          <t>IS</t>
        </is>
      </c>
      <c r="B7" s="4" t="inlineStr">
        <is>
          <t>三表（倒挤现金勾稽）</t>
        </is>
      </c>
    </row>
    <row r="8">
      <c r="A8" s="3" t="inlineStr">
        <is>
          <t>Dashboard</t>
        </is>
      </c>
      <c r="B8" s="4" t="inlineStr">
        <is>
          <t>三下拉维度看板</t>
        </is>
      </c>
    </row>
    <row r="9">
      <c r="A9" s="3" t="inlineStr">
        <is>
          <t>UE</t>
        </is>
      </c>
      <c r="B9" s="4" t="inlineStr">
        <is>
          <t>单店单位经济（回本期）</t>
        </is>
      </c>
    </row>
    <row r="10">
      <c r="A10" s="3" t="inlineStr">
        <is>
          <t>Checks</t>
        </is>
      </c>
      <c r="B10" s="4" t="inlineStr">
        <is>
          <t>勾稽自检</t>
        </is>
      </c>
    </row>
    <row r="12">
      <c r="A12" s="5" t="inlineStr">
        <is>
          <t>速览</t>
        </is>
      </c>
      <c r="C12" s="6" t="n">
        <v>2023</v>
      </c>
      <c r="D12" s="6" t="n">
        <v>2024</v>
      </c>
      <c r="E12" s="6" t="n">
        <v>2025</v>
      </c>
      <c r="F12" s="7" t="n">
        <v>2026</v>
      </c>
      <c r="G12" s="7" t="n">
        <v>2027</v>
      </c>
    </row>
    <row r="13">
      <c r="A13" s="4" t="inlineStr">
        <is>
          <t>收入</t>
        </is>
      </c>
      <c r="C13" s="8">
        <f>IS!C6</f>
        <v/>
      </c>
      <c r="D13" s="8">
        <f>IS!D6</f>
        <v/>
      </c>
      <c r="E13" s="8">
        <f>IS!E6</f>
        <v/>
      </c>
      <c r="F13" s="8">
        <f>IS!F6</f>
        <v/>
      </c>
      <c r="G13" s="8">
        <f>IS!G6</f>
        <v/>
      </c>
    </row>
    <row r="14">
      <c r="A14" s="4" t="inlineStr">
        <is>
          <t>净利润</t>
        </is>
      </c>
      <c r="C14" s="8">
        <f>IS!C18</f>
        <v/>
      </c>
      <c r="D14" s="8">
        <f>IS!D18</f>
        <v/>
      </c>
      <c r="E14" s="8">
        <f>IS!E18</f>
        <v/>
      </c>
      <c r="F14" s="8">
        <f>IS!F18</f>
        <v/>
      </c>
      <c r="G14" s="8">
        <f>IS!G18</f>
        <v/>
      </c>
    </row>
    <row r="15">
      <c r="A15" s="4" t="inlineStr">
        <is>
          <t>期末现金</t>
        </is>
      </c>
      <c r="C15" s="8">
        <f>BS!C12</f>
        <v/>
      </c>
      <c r="D15" s="8">
        <f>BS!D12</f>
        <v/>
      </c>
      <c r="E15" s="8">
        <f>BS!E12</f>
        <v/>
      </c>
      <c r="F15" s="8">
        <f>BS!F12</f>
        <v/>
      </c>
      <c r="G15" s="8">
        <f>BS!G12</f>
        <v/>
      </c>
    </row>
  </sheetData>
  <hyperlinks>
    <hyperlink ref="A4" location="'Meta'!A1"/>
    <hyperlink ref="A5" location="'Assumptions'!A1"/>
    <hyperlink ref="A6" location="'StoreCapex'!A1"/>
    <hyperlink ref="A7" location="'IS'!A1"/>
    <hyperlink ref="A8" location="'Dashboard'!A1"/>
    <hyperlink ref="A9" location="'UE'!A1"/>
    <hyperlink ref="A10" location="'Check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8F00"/>
    <outlinePr summaryBelow="1" summaryRight="1"/>
    <pageSetUpPr/>
  </sheetPr>
  <dimension ref="A1:I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0" customWidth="1" min="5" max="5"/>
    <col width="20" customWidth="1" min="6" max="6"/>
    <col width="12" customWidth="1" min="7" max="7"/>
    <col width="12" customWidth="1" min="8" max="8"/>
    <col width="22" customWidth="1" min="9" max="9"/>
  </cols>
  <sheetData>
    <row r="1">
      <c r="A1" s="9" t="inlineStr">
        <is>
          <t>Meta · 数据层宽表（全模型唯一取数源）</t>
        </is>
      </c>
    </row>
    <row r="2">
      <c r="A2" s="2" t="inlineStr">
        <is>
          <t>字段：主体/业务线/地区/期间/场景(A实际·B预算)/指标/值/来源/备注  |  日常=按期灌数与维护来源；引擎与公式零改动</t>
        </is>
      </c>
    </row>
    <row r="3">
      <c r="A3" s="10" t="inlineStr">
        <is>
          <t>entity</t>
        </is>
      </c>
      <c r="B3" s="10" t="inlineStr">
        <is>
          <t>segment</t>
        </is>
      </c>
      <c r="C3" s="10" t="inlineStr">
        <is>
          <t>region</t>
        </is>
      </c>
      <c r="D3" s="10" t="inlineStr">
        <is>
          <t>period</t>
        </is>
      </c>
      <c r="E3" s="10" t="inlineStr">
        <is>
          <t>scenario</t>
        </is>
      </c>
      <c r="F3" s="10" t="inlineStr">
        <is>
          <t>metric</t>
        </is>
      </c>
      <c r="G3" s="10" t="inlineStr">
        <is>
          <t>value</t>
        </is>
      </c>
      <c r="H3" s="10" t="inlineStr">
        <is>
          <t>source</t>
        </is>
      </c>
      <c r="I3" s="10" t="inlineStr">
        <is>
          <t>note</t>
        </is>
      </c>
    </row>
    <row r="4">
      <c r="A4" t="inlineStr">
        <is>
          <t>GROUP</t>
        </is>
      </c>
      <c r="D4" s="11" t="n">
        <v>2023</v>
      </c>
      <c r="E4" t="inlineStr">
        <is>
          <t>ACTUAL</t>
        </is>
      </c>
      <c r="F4" s="4" t="inlineStr">
        <is>
          <t>stores</t>
        </is>
      </c>
      <c r="G4" s="12" t="n">
        <v>800</v>
      </c>
      <c r="H4" t="inlineStr">
        <is>
          <t>门店系统</t>
        </is>
      </c>
      <c r="I4" t="inlineStr">
        <is>
          <t>期末门店数（家）</t>
        </is>
      </c>
    </row>
    <row r="5">
      <c r="A5" t="inlineStr">
        <is>
          <t>GROUP</t>
        </is>
      </c>
      <c r="D5" s="11" t="n">
        <v>2023</v>
      </c>
      <c r="E5" t="inlineStr">
        <is>
          <t>ACTUAL</t>
        </is>
      </c>
      <c r="F5" s="4" t="inlineStr">
        <is>
          <t>daily_cups</t>
        </is>
      </c>
      <c r="G5" s="12" t="n">
        <v>350</v>
      </c>
      <c r="H5" t="inlineStr">
        <is>
          <t>POS 汇总</t>
        </is>
      </c>
      <c r="I5" t="inlineStr">
        <is>
          <t>日均杯量/店（杯）</t>
        </is>
      </c>
    </row>
    <row r="6">
      <c r="A6" t="inlineStr">
        <is>
          <t>GROUP</t>
        </is>
      </c>
      <c r="D6" s="11" t="n">
        <v>2023</v>
      </c>
      <c r="E6" t="inlineStr">
        <is>
          <t>ACTUAL</t>
        </is>
      </c>
      <c r="F6" s="4" t="inlineStr">
        <is>
          <t>avg_ticket</t>
        </is>
      </c>
      <c r="G6" s="12" t="n">
        <v>15</v>
      </c>
      <c r="H6" t="inlineStr">
        <is>
          <t>POS 汇总</t>
        </is>
      </c>
      <c r="I6" t="inlineStr">
        <is>
          <t>客单价（元）</t>
        </is>
      </c>
    </row>
    <row r="7">
      <c r="A7" t="inlineStr">
        <is>
          <t>GROUP</t>
        </is>
      </c>
      <c r="D7" s="11" t="n">
        <v>2023</v>
      </c>
      <c r="E7" t="inlineStr">
        <is>
          <t>ACTUAL</t>
        </is>
      </c>
      <c r="F7" s="4" t="inlineStr">
        <is>
          <t>retail_ratio</t>
        </is>
      </c>
      <c r="G7" s="12" t="n">
        <v>0.08</v>
      </c>
      <c r="H7" t="inlineStr">
        <is>
          <t>假设初始化</t>
        </is>
      </c>
      <c r="I7" t="inlineStr">
        <is>
          <t>零售产品占现制比例</t>
        </is>
      </c>
    </row>
    <row r="8">
      <c r="A8" t="inlineStr">
        <is>
          <t>GROUP</t>
        </is>
      </c>
      <c r="D8" s="11" t="n">
        <v>2023</v>
      </c>
      <c r="E8" t="inlineStr">
        <is>
          <t>ACTUAL</t>
        </is>
      </c>
      <c r="F8" s="4" t="inlineStr">
        <is>
          <t>cogs_rate</t>
        </is>
      </c>
      <c r="G8" s="12" t="n">
        <v>0.33</v>
      </c>
      <c r="H8" t="inlineStr">
        <is>
          <t>tsdata·A股餐饮校准</t>
        </is>
      </c>
      <c r="I8" t="inlineStr">
        <is>
          <t>原料成本率</t>
        </is>
      </c>
    </row>
    <row r="9">
      <c r="A9" t="inlineStr">
        <is>
          <t>GROUP</t>
        </is>
      </c>
      <c r="D9" s="11" t="n">
        <v>2023</v>
      </c>
      <c r="E9" t="inlineStr">
        <is>
          <t>ACTUAL</t>
        </is>
      </c>
      <c r="F9" s="4" t="inlineStr">
        <is>
          <t>store_opex_m</t>
        </is>
      </c>
      <c r="G9" s="12" t="n">
        <v>6.8</v>
      </c>
      <c r="H9" t="inlineStr">
        <is>
          <t>tsdata·A股餐饮校准</t>
        </is>
      </c>
      <c r="I9" t="inlineStr">
        <is>
          <t>单店月运营成本（万）</t>
        </is>
      </c>
    </row>
    <row r="10">
      <c r="A10" t="inlineStr">
        <is>
          <t>GROUP</t>
        </is>
      </c>
      <c r="D10" s="11" t="n">
        <v>2023</v>
      </c>
      <c r="E10" t="inlineStr">
        <is>
          <t>ACTUAL</t>
        </is>
      </c>
      <c r="F10" s="4" t="inlineStr">
        <is>
          <t>mkt_rate</t>
        </is>
      </c>
      <c r="G10" s="12" t="n">
        <v>0.08500000000000001</v>
      </c>
      <c r="H10" t="inlineStr">
        <is>
          <t>tsdata·A股餐饮校准</t>
        </is>
      </c>
      <c r="I10" t="inlineStr">
        <is>
          <t>营销费率</t>
        </is>
      </c>
    </row>
    <row r="11">
      <c r="A11" t="inlineStr">
        <is>
          <t>GROUP</t>
        </is>
      </c>
      <c r="D11" s="11" t="n">
        <v>2023</v>
      </c>
      <c r="E11" t="inlineStr">
        <is>
          <t>ACTUAL</t>
        </is>
      </c>
      <c r="F11" s="4" t="inlineStr">
        <is>
          <t>headcount_rd</t>
        </is>
      </c>
      <c r="G11" s="12" t="n">
        <v>25</v>
      </c>
      <c r="H11" t="inlineStr">
        <is>
          <t>假设初始化</t>
        </is>
      </c>
      <c r="I11" t="inlineStr">
        <is>
          <t>研发编制（数字化）</t>
        </is>
      </c>
    </row>
    <row r="12">
      <c r="A12" t="inlineStr">
        <is>
          <t>GROUP</t>
        </is>
      </c>
      <c r="D12" s="11" t="n">
        <v>2023</v>
      </c>
      <c r="E12" t="inlineStr">
        <is>
          <t>ACTUAL</t>
        </is>
      </c>
      <c r="F12" s="4" t="inlineStr">
        <is>
          <t>salary_rd</t>
        </is>
      </c>
      <c r="G12" s="12" t="n">
        <v>45</v>
      </c>
      <c r="H12" t="inlineStr">
        <is>
          <t>假设初始化</t>
        </is>
      </c>
      <c r="I12" t="inlineStr">
        <is>
          <t>研发人均全成本（万/年）</t>
        </is>
      </c>
    </row>
    <row r="13">
      <c r="A13" t="inlineStr">
        <is>
          <t>GROUP</t>
        </is>
      </c>
      <c r="D13" s="11" t="n">
        <v>2023</v>
      </c>
      <c r="E13" t="inlineStr">
        <is>
          <t>ACTUAL</t>
        </is>
      </c>
      <c r="F13" s="4" t="inlineStr">
        <is>
          <t>headcount_sales</t>
        </is>
      </c>
      <c r="G13" s="12" t="n">
        <v>40</v>
      </c>
      <c r="H13" t="inlineStr">
        <is>
          <t>假设初始化</t>
        </is>
      </c>
      <c r="I13" t="inlineStr">
        <is>
          <t>销售市场编制</t>
        </is>
      </c>
    </row>
    <row r="14">
      <c r="A14" t="inlineStr">
        <is>
          <t>GROUP</t>
        </is>
      </c>
      <c r="D14" s="11" t="n">
        <v>2023</v>
      </c>
      <c r="E14" t="inlineStr">
        <is>
          <t>ACTUAL</t>
        </is>
      </c>
      <c r="F14" s="4" t="inlineStr">
        <is>
          <t>salary_sales</t>
        </is>
      </c>
      <c r="G14" s="12" t="n">
        <v>40</v>
      </c>
      <c r="H14" t="inlineStr">
        <is>
          <t>假设初始化</t>
        </is>
      </c>
      <c r="I14" t="inlineStr">
        <is>
          <t>销售人均全成本（万/年）</t>
        </is>
      </c>
    </row>
    <row r="15">
      <c r="A15" t="inlineStr">
        <is>
          <t>GROUP</t>
        </is>
      </c>
      <c r="D15" s="11" t="n">
        <v>2023</v>
      </c>
      <c r="E15" t="inlineStr">
        <is>
          <t>ACTUAL</t>
        </is>
      </c>
      <c r="F15" s="4" t="inlineStr">
        <is>
          <t>headcount_gna</t>
        </is>
      </c>
      <c r="G15" s="12" t="n">
        <v>45</v>
      </c>
      <c r="H15" t="inlineStr">
        <is>
          <t>假设初始化</t>
        </is>
      </c>
      <c r="I15" t="inlineStr">
        <is>
          <t>管理编制</t>
        </is>
      </c>
    </row>
    <row r="16">
      <c r="A16" t="inlineStr">
        <is>
          <t>GROUP</t>
        </is>
      </c>
      <c r="D16" s="11" t="n">
        <v>2023</v>
      </c>
      <c r="E16" t="inlineStr">
        <is>
          <t>ACTUAL</t>
        </is>
      </c>
      <c r="F16" s="4" t="inlineStr">
        <is>
          <t>salary_gna</t>
        </is>
      </c>
      <c r="G16" s="12" t="n">
        <v>50</v>
      </c>
      <c r="H16" t="inlineStr">
        <is>
          <t>假设初始化</t>
        </is>
      </c>
      <c r="I16" t="inlineStr">
        <is>
          <t>管理人均全成本（万/年）</t>
        </is>
      </c>
    </row>
    <row r="17">
      <c r="A17" t="inlineStr">
        <is>
          <t>GROUP</t>
        </is>
      </c>
      <c r="D17" s="11" t="n">
        <v>2023</v>
      </c>
      <c r="E17" t="inlineStr">
        <is>
          <t>ACTUAL</t>
        </is>
      </c>
      <c r="F17" s="4" t="inlineStr">
        <is>
          <t>capex_per_store</t>
        </is>
      </c>
      <c r="G17" s="12" t="n">
        <v>45</v>
      </c>
      <c r="H17" t="inlineStr">
        <is>
          <t>假设初始化</t>
        </is>
      </c>
      <c r="I17" t="inlineStr">
        <is>
          <t>单店投入（万）</t>
        </is>
      </c>
    </row>
    <row r="18">
      <c r="A18" t="inlineStr">
        <is>
          <t>GROUP</t>
        </is>
      </c>
      <c r="D18" s="11" t="n">
        <v>2023</v>
      </c>
      <c r="E18" t="inlineStr">
        <is>
          <t>ACTUAL</t>
        </is>
      </c>
      <c r="F18" s="4" t="inlineStr">
        <is>
          <t>tax_rate</t>
        </is>
      </c>
      <c r="G18" s="12" t="n">
        <v>0.25</v>
      </c>
      <c r="H18" t="inlineStr">
        <is>
          <t>假设初始化</t>
        </is>
      </c>
      <c r="I18" t="inlineStr">
        <is>
          <t>所得税率</t>
        </is>
      </c>
    </row>
    <row r="19">
      <c r="A19" t="inlineStr">
        <is>
          <t>GROUP</t>
        </is>
      </c>
      <c r="D19" s="11" t="n">
        <v>2023</v>
      </c>
      <c r="E19" t="inlineStr">
        <is>
          <t>ACTUAL</t>
        </is>
      </c>
      <c r="F19" s="4" t="inlineStr">
        <is>
          <t>dso_days</t>
        </is>
      </c>
      <c r="G19" s="12" t="n">
        <v>7</v>
      </c>
      <c r="H19" t="inlineStr">
        <is>
          <t>假设初始化</t>
        </is>
      </c>
      <c r="I19" t="inlineStr">
        <is>
          <t>应收账期（天）</t>
        </is>
      </c>
    </row>
    <row r="20">
      <c r="A20" t="inlineStr">
        <is>
          <t>GROUP</t>
        </is>
      </c>
      <c r="D20" s="11" t="n">
        <v>2023</v>
      </c>
      <c r="E20" t="inlineStr">
        <is>
          <t>ACTUAL</t>
        </is>
      </c>
      <c r="F20" s="4" t="inlineStr">
        <is>
          <t>dpo_days</t>
        </is>
      </c>
      <c r="G20" s="12" t="n">
        <v>45</v>
      </c>
      <c r="H20" t="inlineStr">
        <is>
          <t>假设初始化</t>
        </is>
      </c>
      <c r="I20" t="inlineStr">
        <is>
          <t>应付账期（天）</t>
        </is>
      </c>
    </row>
    <row r="21">
      <c r="A21" t="inlineStr">
        <is>
          <t>GROUP</t>
        </is>
      </c>
      <c r="D21" s="11" t="n">
        <v>2023</v>
      </c>
      <c r="E21" t="inlineStr">
        <is>
          <t>ACTUAL</t>
        </is>
      </c>
      <c r="F21" s="4" t="inlineStr">
        <is>
          <t>deferred_rate</t>
        </is>
      </c>
      <c r="G21" s="12" t="n">
        <v>0.03</v>
      </c>
      <c r="H21" t="inlineStr">
        <is>
          <t>假设初始化</t>
        </is>
      </c>
      <c r="I21" t="inlineStr">
        <is>
          <t>储值/递延率</t>
        </is>
      </c>
    </row>
    <row r="22">
      <c r="A22" t="inlineStr">
        <is>
          <t>GROUP</t>
        </is>
      </c>
      <c r="D22" s="11" t="n">
        <v>2023</v>
      </c>
      <c r="E22" t="inlineStr">
        <is>
          <t>ACTUAL</t>
        </is>
      </c>
      <c r="F22" s="4" t="inlineStr">
        <is>
          <t>equity_inject</t>
        </is>
      </c>
      <c r="G22" s="12" t="n">
        <v>0</v>
      </c>
      <c r="H22" t="inlineStr">
        <is>
          <t>假设初始化</t>
        </is>
      </c>
      <c r="I22" t="inlineStr">
        <is>
          <t>当年注资（万）</t>
        </is>
      </c>
    </row>
    <row r="23">
      <c r="A23" t="inlineStr">
        <is>
          <t>GROUP</t>
        </is>
      </c>
      <c r="D23" s="11" t="n">
        <v>2023</v>
      </c>
      <c r="E23" t="inlineStr">
        <is>
          <t>ACTUAL</t>
        </is>
      </c>
      <c r="F23" s="4" t="inlineStr">
        <is>
          <t>open_pi</t>
        </is>
      </c>
      <c r="G23" s="12" t="n">
        <v>80000</v>
      </c>
      <c r="H23" t="inlineStr">
        <is>
          <t>假设初始化</t>
        </is>
      </c>
      <c r="I23" t="inlineStr">
        <is>
          <t>期初实收资本（万）</t>
        </is>
      </c>
    </row>
    <row r="24">
      <c r="A24" t="inlineStr">
        <is>
          <t>GROUP</t>
        </is>
      </c>
      <c r="D24" s="11" t="n">
        <v>2023</v>
      </c>
      <c r="E24" t="inlineStr">
        <is>
          <t>ACTUAL</t>
        </is>
      </c>
      <c r="F24" s="4" t="inlineStr">
        <is>
          <t>open_re</t>
        </is>
      </c>
      <c r="G24" s="12" t="n">
        <v>20000</v>
      </c>
      <c r="H24" t="inlineStr">
        <is>
          <t>假设初始化</t>
        </is>
      </c>
      <c r="I24" t="inlineStr">
        <is>
          <t>期初未分配利润（万）</t>
        </is>
      </c>
    </row>
    <row r="25">
      <c r="A25" t="inlineStr">
        <is>
          <t>GROUP</t>
        </is>
      </c>
      <c r="D25" s="11" t="n">
        <v>2023</v>
      </c>
      <c r="E25" t="inlineStr">
        <is>
          <t>ACTUAL</t>
        </is>
      </c>
      <c r="F25" s="4" t="inlineStr">
        <is>
          <t>open_store_fa</t>
        </is>
      </c>
      <c r="G25" s="12" t="n">
        <v>36000</v>
      </c>
      <c r="H25" t="inlineStr">
        <is>
          <t>假设初始化</t>
        </is>
      </c>
      <c r="I25" t="inlineStr">
        <is>
          <t>期初门店资产原值（万）</t>
        </is>
      </c>
    </row>
    <row r="26">
      <c r="A26" t="inlineStr">
        <is>
          <t>GROUP</t>
        </is>
      </c>
      <c r="C26" t="inlineStr">
        <is>
          <t>一线</t>
        </is>
      </c>
      <c r="D26" s="11" t="n">
        <v>2023</v>
      </c>
      <c r="E26" t="inlineStr">
        <is>
          <t>ACTUAL</t>
        </is>
      </c>
      <c r="F26" s="4" t="inlineStr">
        <is>
          <t>region_mix</t>
        </is>
      </c>
      <c r="G26" s="12" t="n">
        <v>0.45</v>
      </c>
      <c r="H26" t="inlineStr">
        <is>
          <t>行业研究</t>
        </is>
      </c>
      <c r="I26" t="inlineStr">
        <is>
          <t>收入地区占比</t>
        </is>
      </c>
    </row>
    <row r="27">
      <c r="A27" t="inlineStr">
        <is>
          <t>GROUP</t>
        </is>
      </c>
      <c r="C27" t="inlineStr">
        <is>
          <t>新一线</t>
        </is>
      </c>
      <c r="D27" s="11" t="n">
        <v>2023</v>
      </c>
      <c r="E27" t="inlineStr">
        <is>
          <t>ACTUAL</t>
        </is>
      </c>
      <c r="F27" s="4" t="inlineStr">
        <is>
          <t>region_mix</t>
        </is>
      </c>
      <c r="G27" s="12" t="n">
        <v>0.3</v>
      </c>
      <c r="H27" t="inlineStr">
        <is>
          <t>行业研究</t>
        </is>
      </c>
      <c r="I27" t="inlineStr">
        <is>
          <t>收入地区占比</t>
        </is>
      </c>
    </row>
    <row r="28">
      <c r="A28" t="inlineStr">
        <is>
          <t>GROUP</t>
        </is>
      </c>
      <c r="C28" t="inlineStr">
        <is>
          <t>二线及以下</t>
        </is>
      </c>
      <c r="D28" s="11" t="n">
        <v>2023</v>
      </c>
      <c r="E28" t="inlineStr">
        <is>
          <t>ACTUAL</t>
        </is>
      </c>
      <c r="F28" s="4" t="inlineStr">
        <is>
          <t>region_mix</t>
        </is>
      </c>
      <c r="G28" s="12" t="n">
        <v>0.18</v>
      </c>
      <c r="H28" t="inlineStr">
        <is>
          <t>行业研究</t>
        </is>
      </c>
      <c r="I28" t="inlineStr">
        <is>
          <t>收入地区占比</t>
        </is>
      </c>
    </row>
    <row r="29">
      <c r="A29" t="inlineStr">
        <is>
          <t>GROUP</t>
        </is>
      </c>
      <c r="C29" t="inlineStr">
        <is>
          <t>海外</t>
        </is>
      </c>
      <c r="D29" s="11" t="n">
        <v>2023</v>
      </c>
      <c r="E29" t="inlineStr">
        <is>
          <t>ACTUAL</t>
        </is>
      </c>
      <c r="F29" s="4" t="inlineStr">
        <is>
          <t>region_mix</t>
        </is>
      </c>
      <c r="G29" s="12" t="n">
        <v>0.07000000000000001</v>
      </c>
      <c r="H29" t="inlineStr">
        <is>
          <t>行业研究</t>
        </is>
      </c>
      <c r="I29" t="inlineStr">
        <is>
          <t>收入地区占比</t>
        </is>
      </c>
    </row>
    <row r="30">
      <c r="A30" t="inlineStr">
        <is>
          <t>GROUP</t>
        </is>
      </c>
      <c r="D30" s="11" t="n">
        <v>2024</v>
      </c>
      <c r="E30" t="inlineStr">
        <is>
          <t>ACTUAL</t>
        </is>
      </c>
      <c r="F30" s="4" t="inlineStr">
        <is>
          <t>stores</t>
        </is>
      </c>
      <c r="G30" s="12" t="n">
        <v>1200</v>
      </c>
      <c r="H30" t="inlineStr">
        <is>
          <t>门店系统</t>
        </is>
      </c>
      <c r="I30" t="inlineStr">
        <is>
          <t>期末门店数（家）</t>
        </is>
      </c>
    </row>
    <row r="31">
      <c r="A31" t="inlineStr">
        <is>
          <t>GROUP</t>
        </is>
      </c>
      <c r="D31" s="11" t="n">
        <v>2024</v>
      </c>
      <c r="E31" t="inlineStr">
        <is>
          <t>ACTUAL</t>
        </is>
      </c>
      <c r="F31" s="4" t="inlineStr">
        <is>
          <t>daily_cups</t>
        </is>
      </c>
      <c r="G31" s="12" t="n">
        <v>400</v>
      </c>
      <c r="H31" t="inlineStr">
        <is>
          <t>POS 汇总</t>
        </is>
      </c>
      <c r="I31" t="inlineStr">
        <is>
          <t>日均杯量/店（杯）</t>
        </is>
      </c>
    </row>
    <row r="32">
      <c r="A32" t="inlineStr">
        <is>
          <t>GROUP</t>
        </is>
      </c>
      <c r="D32" s="11" t="n">
        <v>2024</v>
      </c>
      <c r="E32" t="inlineStr">
        <is>
          <t>ACTUAL</t>
        </is>
      </c>
      <c r="F32" s="4" t="inlineStr">
        <is>
          <t>avg_ticket</t>
        </is>
      </c>
      <c r="G32" s="12" t="n">
        <v>15.5</v>
      </c>
      <c r="H32" t="inlineStr">
        <is>
          <t>POS 汇总</t>
        </is>
      </c>
      <c r="I32" t="inlineStr">
        <is>
          <t>客单价（元）</t>
        </is>
      </c>
    </row>
    <row r="33">
      <c r="A33" t="inlineStr">
        <is>
          <t>GROUP</t>
        </is>
      </c>
      <c r="D33" s="11" t="n">
        <v>2024</v>
      </c>
      <c r="E33" t="inlineStr">
        <is>
          <t>ACTUAL</t>
        </is>
      </c>
      <c r="F33" s="4" t="inlineStr">
        <is>
          <t>retail_ratio</t>
        </is>
      </c>
      <c r="G33" s="12" t="n">
        <v>0.08</v>
      </c>
      <c r="H33" t="inlineStr">
        <is>
          <t>假设初始化</t>
        </is>
      </c>
      <c r="I33" t="inlineStr">
        <is>
          <t>零售产品占现制比例</t>
        </is>
      </c>
    </row>
    <row r="34">
      <c r="A34" t="inlineStr">
        <is>
          <t>GROUP</t>
        </is>
      </c>
      <c r="D34" s="11" t="n">
        <v>2024</v>
      </c>
      <c r="E34" t="inlineStr">
        <is>
          <t>ACTUAL</t>
        </is>
      </c>
      <c r="F34" s="4" t="inlineStr">
        <is>
          <t>cogs_rate</t>
        </is>
      </c>
      <c r="G34" s="12" t="n">
        <v>0.32</v>
      </c>
      <c r="H34" t="inlineStr">
        <is>
          <t>tsdata·A股餐饮校准</t>
        </is>
      </c>
      <c r="I34" t="inlineStr">
        <is>
          <t>原料成本率</t>
        </is>
      </c>
    </row>
    <row r="35">
      <c r="A35" t="inlineStr">
        <is>
          <t>GROUP</t>
        </is>
      </c>
      <c r="D35" s="11" t="n">
        <v>2024</v>
      </c>
      <c r="E35" t="inlineStr">
        <is>
          <t>ACTUAL</t>
        </is>
      </c>
      <c r="F35" s="4" t="inlineStr">
        <is>
          <t>store_opex_m</t>
        </is>
      </c>
      <c r="G35" s="12" t="n">
        <v>7</v>
      </c>
      <c r="H35" t="inlineStr">
        <is>
          <t>tsdata·A股餐饮校准</t>
        </is>
      </c>
      <c r="I35" t="inlineStr">
        <is>
          <t>单店月运营成本（万）</t>
        </is>
      </c>
    </row>
    <row r="36">
      <c r="A36" t="inlineStr">
        <is>
          <t>GROUP</t>
        </is>
      </c>
      <c r="D36" s="11" t="n">
        <v>2024</v>
      </c>
      <c r="E36" t="inlineStr">
        <is>
          <t>ACTUAL</t>
        </is>
      </c>
      <c r="F36" s="4" t="inlineStr">
        <is>
          <t>mkt_rate</t>
        </is>
      </c>
      <c r="G36" s="12" t="n">
        <v>0.075</v>
      </c>
      <c r="H36" t="inlineStr">
        <is>
          <t>tsdata·A股餐饮校准</t>
        </is>
      </c>
      <c r="I36" t="inlineStr">
        <is>
          <t>营销费率</t>
        </is>
      </c>
    </row>
    <row r="37">
      <c r="A37" t="inlineStr">
        <is>
          <t>GROUP</t>
        </is>
      </c>
      <c r="D37" s="11" t="n">
        <v>2024</v>
      </c>
      <c r="E37" t="inlineStr">
        <is>
          <t>ACTUAL</t>
        </is>
      </c>
      <c r="F37" s="4" t="inlineStr">
        <is>
          <t>headcount_rd</t>
        </is>
      </c>
      <c r="G37" s="12" t="n">
        <v>35</v>
      </c>
      <c r="H37" t="inlineStr">
        <is>
          <t>假设初始化</t>
        </is>
      </c>
      <c r="I37" t="inlineStr">
        <is>
          <t>研发编制（数字化）</t>
        </is>
      </c>
    </row>
    <row r="38">
      <c r="A38" t="inlineStr">
        <is>
          <t>GROUP</t>
        </is>
      </c>
      <c r="D38" s="11" t="n">
        <v>2024</v>
      </c>
      <c r="E38" t="inlineStr">
        <is>
          <t>ACTUAL</t>
        </is>
      </c>
      <c r="F38" s="4" t="inlineStr">
        <is>
          <t>salary_rd</t>
        </is>
      </c>
      <c r="G38" s="12" t="n">
        <v>45</v>
      </c>
      <c r="H38" t="inlineStr">
        <is>
          <t>假设初始化</t>
        </is>
      </c>
      <c r="I38" t="inlineStr">
        <is>
          <t>研发人均全成本（万/年）</t>
        </is>
      </c>
    </row>
    <row r="39">
      <c r="A39" t="inlineStr">
        <is>
          <t>GROUP</t>
        </is>
      </c>
      <c r="D39" s="11" t="n">
        <v>2024</v>
      </c>
      <c r="E39" t="inlineStr">
        <is>
          <t>ACTUAL</t>
        </is>
      </c>
      <c r="F39" s="4" t="inlineStr">
        <is>
          <t>headcount_sales</t>
        </is>
      </c>
      <c r="G39" s="12" t="n">
        <v>55</v>
      </c>
      <c r="H39" t="inlineStr">
        <is>
          <t>假设初始化</t>
        </is>
      </c>
      <c r="I39" t="inlineStr">
        <is>
          <t>销售市场编制</t>
        </is>
      </c>
    </row>
    <row r="40">
      <c r="A40" t="inlineStr">
        <is>
          <t>GROUP</t>
        </is>
      </c>
      <c r="D40" s="11" t="n">
        <v>2024</v>
      </c>
      <c r="E40" t="inlineStr">
        <is>
          <t>ACTUAL</t>
        </is>
      </c>
      <c r="F40" s="4" t="inlineStr">
        <is>
          <t>salary_sales</t>
        </is>
      </c>
      <c r="G40" s="12" t="n">
        <v>40</v>
      </c>
      <c r="H40" t="inlineStr">
        <is>
          <t>假设初始化</t>
        </is>
      </c>
      <c r="I40" t="inlineStr">
        <is>
          <t>销售人均全成本（万/年）</t>
        </is>
      </c>
    </row>
    <row r="41">
      <c r="A41" t="inlineStr">
        <is>
          <t>GROUP</t>
        </is>
      </c>
      <c r="D41" s="11" t="n">
        <v>2024</v>
      </c>
      <c r="E41" t="inlineStr">
        <is>
          <t>ACTUAL</t>
        </is>
      </c>
      <c r="F41" s="4" t="inlineStr">
        <is>
          <t>headcount_gna</t>
        </is>
      </c>
      <c r="G41" s="12" t="n">
        <v>55</v>
      </c>
      <c r="H41" t="inlineStr">
        <is>
          <t>假设初始化</t>
        </is>
      </c>
      <c r="I41" t="inlineStr">
        <is>
          <t>管理编制</t>
        </is>
      </c>
    </row>
    <row r="42">
      <c r="A42" t="inlineStr">
        <is>
          <t>GROUP</t>
        </is>
      </c>
      <c r="D42" s="11" t="n">
        <v>2024</v>
      </c>
      <c r="E42" t="inlineStr">
        <is>
          <t>ACTUAL</t>
        </is>
      </c>
      <c r="F42" s="4" t="inlineStr">
        <is>
          <t>salary_gna</t>
        </is>
      </c>
      <c r="G42" s="12" t="n">
        <v>50</v>
      </c>
      <c r="H42" t="inlineStr">
        <is>
          <t>假设初始化</t>
        </is>
      </c>
      <c r="I42" t="inlineStr">
        <is>
          <t>管理人均全成本（万/年）</t>
        </is>
      </c>
    </row>
    <row r="43">
      <c r="A43" t="inlineStr">
        <is>
          <t>GROUP</t>
        </is>
      </c>
      <c r="D43" s="11" t="n">
        <v>2024</v>
      </c>
      <c r="E43" t="inlineStr">
        <is>
          <t>ACTUAL</t>
        </is>
      </c>
      <c r="F43" s="4" t="inlineStr">
        <is>
          <t>capex_per_store</t>
        </is>
      </c>
      <c r="G43" s="12" t="n">
        <v>45</v>
      </c>
      <c r="H43" t="inlineStr">
        <is>
          <t>假设初始化</t>
        </is>
      </c>
      <c r="I43" t="inlineStr">
        <is>
          <t>单店投入（万）</t>
        </is>
      </c>
    </row>
    <row r="44">
      <c r="A44" t="inlineStr">
        <is>
          <t>GROUP</t>
        </is>
      </c>
      <c r="D44" s="11" t="n">
        <v>2024</v>
      </c>
      <c r="E44" t="inlineStr">
        <is>
          <t>ACTUAL</t>
        </is>
      </c>
      <c r="F44" s="4" t="inlineStr">
        <is>
          <t>tax_rate</t>
        </is>
      </c>
      <c r="G44" s="12" t="n">
        <v>0.25</v>
      </c>
      <c r="H44" t="inlineStr">
        <is>
          <t>假设初始化</t>
        </is>
      </c>
      <c r="I44" t="inlineStr">
        <is>
          <t>所得税率</t>
        </is>
      </c>
    </row>
    <row r="45">
      <c r="A45" t="inlineStr">
        <is>
          <t>GROUP</t>
        </is>
      </c>
      <c r="D45" s="11" t="n">
        <v>2024</v>
      </c>
      <c r="E45" t="inlineStr">
        <is>
          <t>ACTUAL</t>
        </is>
      </c>
      <c r="F45" s="4" t="inlineStr">
        <is>
          <t>dso_days</t>
        </is>
      </c>
      <c r="G45" s="12" t="n">
        <v>7</v>
      </c>
      <c r="H45" t="inlineStr">
        <is>
          <t>假设初始化</t>
        </is>
      </c>
      <c r="I45" t="inlineStr">
        <is>
          <t>应收账期（天）</t>
        </is>
      </c>
    </row>
    <row r="46">
      <c r="A46" t="inlineStr">
        <is>
          <t>GROUP</t>
        </is>
      </c>
      <c r="D46" s="11" t="n">
        <v>2024</v>
      </c>
      <c r="E46" t="inlineStr">
        <is>
          <t>ACTUAL</t>
        </is>
      </c>
      <c r="F46" s="4" t="inlineStr">
        <is>
          <t>dpo_days</t>
        </is>
      </c>
      <c r="G46" s="12" t="n">
        <v>45</v>
      </c>
      <c r="H46" t="inlineStr">
        <is>
          <t>假设初始化</t>
        </is>
      </c>
      <c r="I46" t="inlineStr">
        <is>
          <t>应付账期（天）</t>
        </is>
      </c>
    </row>
    <row r="47">
      <c r="A47" t="inlineStr">
        <is>
          <t>GROUP</t>
        </is>
      </c>
      <c r="D47" s="11" t="n">
        <v>2024</v>
      </c>
      <c r="E47" t="inlineStr">
        <is>
          <t>ACTUAL</t>
        </is>
      </c>
      <c r="F47" s="4" t="inlineStr">
        <is>
          <t>deferred_rate</t>
        </is>
      </c>
      <c r="G47" s="12" t="n">
        <v>0.03</v>
      </c>
      <c r="H47" t="inlineStr">
        <is>
          <t>假设初始化</t>
        </is>
      </c>
      <c r="I47" t="inlineStr">
        <is>
          <t>储值/递延率</t>
        </is>
      </c>
    </row>
    <row r="48">
      <c r="A48" t="inlineStr">
        <is>
          <t>GROUP</t>
        </is>
      </c>
      <c r="D48" s="11" t="n">
        <v>2024</v>
      </c>
      <c r="E48" t="inlineStr">
        <is>
          <t>ACTUAL</t>
        </is>
      </c>
      <c r="F48" s="4" t="inlineStr">
        <is>
          <t>equity_inject</t>
        </is>
      </c>
      <c r="G48" s="12" t="n">
        <v>0</v>
      </c>
      <c r="H48" t="inlineStr">
        <is>
          <t>假设初始化</t>
        </is>
      </c>
      <c r="I48" t="inlineStr">
        <is>
          <t>当年注资（万）</t>
        </is>
      </c>
    </row>
    <row r="49">
      <c r="A49" t="inlineStr">
        <is>
          <t>GROUP</t>
        </is>
      </c>
      <c r="D49" s="11" t="n">
        <v>2024</v>
      </c>
      <c r="E49" t="inlineStr">
        <is>
          <t>ACTUAL</t>
        </is>
      </c>
      <c r="F49" s="4" t="inlineStr">
        <is>
          <t>open_pi</t>
        </is>
      </c>
      <c r="G49" s="12" t="n">
        <v>80000</v>
      </c>
      <c r="H49" t="inlineStr">
        <is>
          <t>假设初始化</t>
        </is>
      </c>
      <c r="I49" t="inlineStr">
        <is>
          <t>期初实收资本（万）</t>
        </is>
      </c>
    </row>
    <row r="50">
      <c r="A50" t="inlineStr">
        <is>
          <t>GROUP</t>
        </is>
      </c>
      <c r="D50" s="11" t="n">
        <v>2024</v>
      </c>
      <c r="E50" t="inlineStr">
        <is>
          <t>ACTUAL</t>
        </is>
      </c>
      <c r="F50" s="4" t="inlineStr">
        <is>
          <t>open_re</t>
        </is>
      </c>
      <c r="G50" s="12" t="n">
        <v>20000</v>
      </c>
      <c r="H50" t="inlineStr">
        <is>
          <t>假设初始化</t>
        </is>
      </c>
      <c r="I50" t="inlineStr">
        <is>
          <t>期初未分配利润（万）</t>
        </is>
      </c>
    </row>
    <row r="51">
      <c r="A51" t="inlineStr">
        <is>
          <t>GROUP</t>
        </is>
      </c>
      <c r="D51" s="11" t="n">
        <v>2024</v>
      </c>
      <c r="E51" t="inlineStr">
        <is>
          <t>ACTUAL</t>
        </is>
      </c>
      <c r="F51" s="4" t="inlineStr">
        <is>
          <t>open_store_fa</t>
        </is>
      </c>
      <c r="G51" s="12" t="n">
        <v>36000</v>
      </c>
      <c r="H51" t="inlineStr">
        <is>
          <t>假设初始化</t>
        </is>
      </c>
      <c r="I51" t="inlineStr">
        <is>
          <t>期初门店资产原值（万）</t>
        </is>
      </c>
    </row>
    <row r="52">
      <c r="A52" t="inlineStr">
        <is>
          <t>GROUP</t>
        </is>
      </c>
      <c r="C52" t="inlineStr">
        <is>
          <t>一线</t>
        </is>
      </c>
      <c r="D52" s="11" t="n">
        <v>2024</v>
      </c>
      <c r="E52" t="inlineStr">
        <is>
          <t>ACTUAL</t>
        </is>
      </c>
      <c r="F52" s="4" t="inlineStr">
        <is>
          <t>region_mix</t>
        </is>
      </c>
      <c r="G52" s="12" t="n">
        <v>0.42</v>
      </c>
      <c r="H52" t="inlineStr">
        <is>
          <t>行业研究</t>
        </is>
      </c>
      <c r="I52" t="inlineStr">
        <is>
          <t>收入地区占比</t>
        </is>
      </c>
    </row>
    <row r="53">
      <c r="A53" t="inlineStr">
        <is>
          <t>GROUP</t>
        </is>
      </c>
      <c r="C53" t="inlineStr">
        <is>
          <t>新一线</t>
        </is>
      </c>
      <c r="D53" s="11" t="n">
        <v>2024</v>
      </c>
      <c r="E53" t="inlineStr">
        <is>
          <t>ACTUAL</t>
        </is>
      </c>
      <c r="F53" s="4" t="inlineStr">
        <is>
          <t>region_mix</t>
        </is>
      </c>
      <c r="G53" s="12" t="n">
        <v>0.3</v>
      </c>
      <c r="H53" t="inlineStr">
        <is>
          <t>行业研究</t>
        </is>
      </c>
      <c r="I53" t="inlineStr">
        <is>
          <t>收入地区占比</t>
        </is>
      </c>
    </row>
    <row r="54">
      <c r="A54" t="inlineStr">
        <is>
          <t>GROUP</t>
        </is>
      </c>
      <c r="C54" t="inlineStr">
        <is>
          <t>二线及以下</t>
        </is>
      </c>
      <c r="D54" s="11" t="n">
        <v>2024</v>
      </c>
      <c r="E54" t="inlineStr">
        <is>
          <t>ACTUAL</t>
        </is>
      </c>
      <c r="F54" s="4" t="inlineStr">
        <is>
          <t>region_mix</t>
        </is>
      </c>
      <c r="G54" s="12" t="n">
        <v>0.21</v>
      </c>
      <c r="H54" t="inlineStr">
        <is>
          <t>行业研究</t>
        </is>
      </c>
      <c r="I54" t="inlineStr">
        <is>
          <t>收入地区占比</t>
        </is>
      </c>
    </row>
    <row r="55">
      <c r="A55" t="inlineStr">
        <is>
          <t>GROUP</t>
        </is>
      </c>
      <c r="C55" t="inlineStr">
        <is>
          <t>海外</t>
        </is>
      </c>
      <c r="D55" s="11" t="n">
        <v>2024</v>
      </c>
      <c r="E55" t="inlineStr">
        <is>
          <t>ACTUAL</t>
        </is>
      </c>
      <c r="F55" s="4" t="inlineStr">
        <is>
          <t>region_mix</t>
        </is>
      </c>
      <c r="G55" s="12" t="n">
        <v>0.07000000000000001</v>
      </c>
      <c r="H55" t="inlineStr">
        <is>
          <t>行业研究</t>
        </is>
      </c>
      <c r="I55" t="inlineStr">
        <is>
          <t>收入地区占比</t>
        </is>
      </c>
    </row>
    <row r="56">
      <c r="A56" t="inlineStr">
        <is>
          <t>GROUP</t>
        </is>
      </c>
      <c r="D56" s="11" t="n">
        <v>2025</v>
      </c>
      <c r="E56" t="inlineStr">
        <is>
          <t>ACTUAL</t>
        </is>
      </c>
      <c r="F56" s="4" t="inlineStr">
        <is>
          <t>stores</t>
        </is>
      </c>
      <c r="G56" s="12" t="n">
        <v>1800</v>
      </c>
      <c r="H56" t="inlineStr">
        <is>
          <t>门店系统</t>
        </is>
      </c>
      <c r="I56" t="inlineStr">
        <is>
          <t>期末门店数（家）</t>
        </is>
      </c>
    </row>
    <row r="57">
      <c r="A57" t="inlineStr">
        <is>
          <t>GROUP</t>
        </is>
      </c>
      <c r="D57" s="11" t="n">
        <v>2025</v>
      </c>
      <c r="E57" t="inlineStr">
        <is>
          <t>ACTUAL</t>
        </is>
      </c>
      <c r="F57" s="4" t="inlineStr">
        <is>
          <t>daily_cups</t>
        </is>
      </c>
      <c r="G57" s="12" t="n">
        <v>450</v>
      </c>
      <c r="H57" t="inlineStr">
        <is>
          <t>POS 汇总</t>
        </is>
      </c>
      <c r="I57" t="inlineStr">
        <is>
          <t>日均杯量/店（杯）</t>
        </is>
      </c>
    </row>
    <row r="58">
      <c r="A58" t="inlineStr">
        <is>
          <t>GROUP</t>
        </is>
      </c>
      <c r="D58" s="11" t="n">
        <v>2025</v>
      </c>
      <c r="E58" t="inlineStr">
        <is>
          <t>ACTUAL</t>
        </is>
      </c>
      <c r="F58" s="4" t="inlineStr">
        <is>
          <t>avg_ticket</t>
        </is>
      </c>
      <c r="G58" s="12" t="n">
        <v>16</v>
      </c>
      <c r="H58" t="inlineStr">
        <is>
          <t>POS 汇总</t>
        </is>
      </c>
      <c r="I58" t="inlineStr">
        <is>
          <t>客单价（元）</t>
        </is>
      </c>
    </row>
    <row r="59">
      <c r="A59" t="inlineStr">
        <is>
          <t>GROUP</t>
        </is>
      </c>
      <c r="D59" s="11" t="n">
        <v>2025</v>
      </c>
      <c r="E59" t="inlineStr">
        <is>
          <t>ACTUAL</t>
        </is>
      </c>
      <c r="F59" s="4" t="inlineStr">
        <is>
          <t>retail_ratio</t>
        </is>
      </c>
      <c r="G59" s="12" t="n">
        <v>0.08</v>
      </c>
      <c r="H59" t="inlineStr">
        <is>
          <t>假设初始化</t>
        </is>
      </c>
      <c r="I59" t="inlineStr">
        <is>
          <t>零售产品占现制比例</t>
        </is>
      </c>
    </row>
    <row r="60">
      <c r="A60" t="inlineStr">
        <is>
          <t>GROUP</t>
        </is>
      </c>
      <c r="D60" s="11" t="n">
        <v>2025</v>
      </c>
      <c r="E60" t="inlineStr">
        <is>
          <t>ACTUAL</t>
        </is>
      </c>
      <c r="F60" s="4" t="inlineStr">
        <is>
          <t>cogs_rate</t>
        </is>
      </c>
      <c r="G60" s="12" t="n">
        <v>0.315</v>
      </c>
      <c r="H60" t="inlineStr">
        <is>
          <t>tsdata·A股餐饮校准</t>
        </is>
      </c>
      <c r="I60" t="inlineStr">
        <is>
          <t>原料成本率</t>
        </is>
      </c>
    </row>
    <row r="61">
      <c r="A61" t="inlineStr">
        <is>
          <t>GROUP</t>
        </is>
      </c>
      <c r="D61" s="11" t="n">
        <v>2025</v>
      </c>
      <c r="E61" t="inlineStr">
        <is>
          <t>ACTUAL</t>
        </is>
      </c>
      <c r="F61" s="4" t="inlineStr">
        <is>
          <t>store_opex_m</t>
        </is>
      </c>
      <c r="G61" s="12" t="n">
        <v>7.3</v>
      </c>
      <c r="H61" t="inlineStr">
        <is>
          <t>tsdata·A股餐饮校准</t>
        </is>
      </c>
      <c r="I61" t="inlineStr">
        <is>
          <t>单店月运营成本（万）</t>
        </is>
      </c>
    </row>
    <row r="62">
      <c r="A62" t="inlineStr">
        <is>
          <t>GROUP</t>
        </is>
      </c>
      <c r="D62" s="11" t="n">
        <v>2025</v>
      </c>
      <c r="E62" t="inlineStr">
        <is>
          <t>ACTUAL</t>
        </is>
      </c>
      <c r="F62" s="4" t="inlineStr">
        <is>
          <t>mkt_rate</t>
        </is>
      </c>
      <c r="G62" s="12" t="n">
        <v>0.065</v>
      </c>
      <c r="H62" t="inlineStr">
        <is>
          <t>tsdata·A股餐饮校准</t>
        </is>
      </c>
      <c r="I62" t="inlineStr">
        <is>
          <t>营销费率</t>
        </is>
      </c>
    </row>
    <row r="63">
      <c r="A63" t="inlineStr">
        <is>
          <t>GROUP</t>
        </is>
      </c>
      <c r="D63" s="11" t="n">
        <v>2025</v>
      </c>
      <c r="E63" t="inlineStr">
        <is>
          <t>ACTUAL</t>
        </is>
      </c>
      <c r="F63" s="4" t="inlineStr">
        <is>
          <t>headcount_rd</t>
        </is>
      </c>
      <c r="G63" s="12" t="n">
        <v>50</v>
      </c>
      <c r="H63" t="inlineStr">
        <is>
          <t>假设初始化</t>
        </is>
      </c>
      <c r="I63" t="inlineStr">
        <is>
          <t>研发编制（数字化）</t>
        </is>
      </c>
    </row>
    <row r="64">
      <c r="A64" t="inlineStr">
        <is>
          <t>GROUP</t>
        </is>
      </c>
      <c r="D64" s="11" t="n">
        <v>2025</v>
      </c>
      <c r="E64" t="inlineStr">
        <is>
          <t>ACTUAL</t>
        </is>
      </c>
      <c r="F64" s="4" t="inlineStr">
        <is>
          <t>salary_rd</t>
        </is>
      </c>
      <c r="G64" s="12" t="n">
        <v>45</v>
      </c>
      <c r="H64" t="inlineStr">
        <is>
          <t>假设初始化</t>
        </is>
      </c>
      <c r="I64" t="inlineStr">
        <is>
          <t>研发人均全成本（万/年）</t>
        </is>
      </c>
    </row>
    <row r="65">
      <c r="A65" t="inlineStr">
        <is>
          <t>GROUP</t>
        </is>
      </c>
      <c r="D65" s="11" t="n">
        <v>2025</v>
      </c>
      <c r="E65" t="inlineStr">
        <is>
          <t>ACTUAL</t>
        </is>
      </c>
      <c r="F65" s="4" t="inlineStr">
        <is>
          <t>headcount_sales</t>
        </is>
      </c>
      <c r="G65" s="12" t="n">
        <v>75</v>
      </c>
      <c r="H65" t="inlineStr">
        <is>
          <t>假设初始化</t>
        </is>
      </c>
      <c r="I65" t="inlineStr">
        <is>
          <t>销售市场编制</t>
        </is>
      </c>
    </row>
    <row r="66">
      <c r="A66" t="inlineStr">
        <is>
          <t>GROUP</t>
        </is>
      </c>
      <c r="D66" s="11" t="n">
        <v>2025</v>
      </c>
      <c r="E66" t="inlineStr">
        <is>
          <t>ACTUAL</t>
        </is>
      </c>
      <c r="F66" s="4" t="inlineStr">
        <is>
          <t>salary_sales</t>
        </is>
      </c>
      <c r="G66" s="12" t="n">
        <v>40</v>
      </c>
      <c r="H66" t="inlineStr">
        <is>
          <t>假设初始化</t>
        </is>
      </c>
      <c r="I66" t="inlineStr">
        <is>
          <t>销售人均全成本（万/年）</t>
        </is>
      </c>
    </row>
    <row r="67">
      <c r="A67" t="inlineStr">
        <is>
          <t>GROUP</t>
        </is>
      </c>
      <c r="D67" s="11" t="n">
        <v>2025</v>
      </c>
      <c r="E67" t="inlineStr">
        <is>
          <t>ACTUAL</t>
        </is>
      </c>
      <c r="F67" s="4" t="inlineStr">
        <is>
          <t>headcount_gna</t>
        </is>
      </c>
      <c r="G67" s="12" t="n">
        <v>70</v>
      </c>
      <c r="H67" t="inlineStr">
        <is>
          <t>假设初始化</t>
        </is>
      </c>
      <c r="I67" t="inlineStr">
        <is>
          <t>管理编制</t>
        </is>
      </c>
    </row>
    <row r="68">
      <c r="A68" t="inlineStr">
        <is>
          <t>GROUP</t>
        </is>
      </c>
      <c r="D68" s="11" t="n">
        <v>2025</v>
      </c>
      <c r="E68" t="inlineStr">
        <is>
          <t>ACTUAL</t>
        </is>
      </c>
      <c r="F68" s="4" t="inlineStr">
        <is>
          <t>salary_gna</t>
        </is>
      </c>
      <c r="G68" s="12" t="n">
        <v>50</v>
      </c>
      <c r="H68" t="inlineStr">
        <is>
          <t>假设初始化</t>
        </is>
      </c>
      <c r="I68" t="inlineStr">
        <is>
          <t>管理人均全成本（万/年）</t>
        </is>
      </c>
    </row>
    <row r="69">
      <c r="A69" t="inlineStr">
        <is>
          <t>GROUP</t>
        </is>
      </c>
      <c r="D69" s="11" t="n">
        <v>2025</v>
      </c>
      <c r="E69" t="inlineStr">
        <is>
          <t>ACTUAL</t>
        </is>
      </c>
      <c r="F69" s="4" t="inlineStr">
        <is>
          <t>capex_per_store</t>
        </is>
      </c>
      <c r="G69" s="12" t="n">
        <v>45</v>
      </c>
      <c r="H69" t="inlineStr">
        <is>
          <t>假设初始化</t>
        </is>
      </c>
      <c r="I69" t="inlineStr">
        <is>
          <t>单店投入（万）</t>
        </is>
      </c>
    </row>
    <row r="70">
      <c r="A70" t="inlineStr">
        <is>
          <t>GROUP</t>
        </is>
      </c>
      <c r="D70" s="11" t="n">
        <v>2025</v>
      </c>
      <c r="E70" t="inlineStr">
        <is>
          <t>ACTUAL</t>
        </is>
      </c>
      <c r="F70" s="4" t="inlineStr">
        <is>
          <t>tax_rate</t>
        </is>
      </c>
      <c r="G70" s="12" t="n">
        <v>0.25</v>
      </c>
      <c r="H70" t="inlineStr">
        <is>
          <t>假设初始化</t>
        </is>
      </c>
      <c r="I70" t="inlineStr">
        <is>
          <t>所得税率</t>
        </is>
      </c>
    </row>
    <row r="71">
      <c r="A71" t="inlineStr">
        <is>
          <t>GROUP</t>
        </is>
      </c>
      <c r="D71" s="11" t="n">
        <v>2025</v>
      </c>
      <c r="E71" t="inlineStr">
        <is>
          <t>ACTUAL</t>
        </is>
      </c>
      <c r="F71" s="4" t="inlineStr">
        <is>
          <t>dso_days</t>
        </is>
      </c>
      <c r="G71" s="12" t="n">
        <v>7</v>
      </c>
      <c r="H71" t="inlineStr">
        <is>
          <t>假设初始化</t>
        </is>
      </c>
      <c r="I71" t="inlineStr">
        <is>
          <t>应收账期（天）</t>
        </is>
      </c>
    </row>
    <row r="72">
      <c r="A72" t="inlineStr">
        <is>
          <t>GROUP</t>
        </is>
      </c>
      <c r="D72" s="11" t="n">
        <v>2025</v>
      </c>
      <c r="E72" t="inlineStr">
        <is>
          <t>ACTUAL</t>
        </is>
      </c>
      <c r="F72" s="4" t="inlineStr">
        <is>
          <t>dpo_days</t>
        </is>
      </c>
      <c r="G72" s="12" t="n">
        <v>45</v>
      </c>
      <c r="H72" t="inlineStr">
        <is>
          <t>假设初始化</t>
        </is>
      </c>
      <c r="I72" t="inlineStr">
        <is>
          <t>应付账期（天）</t>
        </is>
      </c>
    </row>
    <row r="73">
      <c r="A73" t="inlineStr">
        <is>
          <t>GROUP</t>
        </is>
      </c>
      <c r="D73" s="11" t="n">
        <v>2025</v>
      </c>
      <c r="E73" t="inlineStr">
        <is>
          <t>ACTUAL</t>
        </is>
      </c>
      <c r="F73" s="4" t="inlineStr">
        <is>
          <t>deferred_rate</t>
        </is>
      </c>
      <c r="G73" s="12" t="n">
        <v>0.03</v>
      </c>
      <c r="H73" t="inlineStr">
        <is>
          <t>假设初始化</t>
        </is>
      </c>
      <c r="I73" t="inlineStr">
        <is>
          <t>储值/递延率</t>
        </is>
      </c>
    </row>
    <row r="74">
      <c r="A74" t="inlineStr">
        <is>
          <t>GROUP</t>
        </is>
      </c>
      <c r="D74" s="11" t="n">
        <v>2025</v>
      </c>
      <c r="E74" t="inlineStr">
        <is>
          <t>ACTUAL</t>
        </is>
      </c>
      <c r="F74" s="4" t="inlineStr">
        <is>
          <t>equity_inject</t>
        </is>
      </c>
      <c r="G74" s="12" t="n">
        <v>0</v>
      </c>
      <c r="H74" t="inlineStr">
        <is>
          <t>假设初始化</t>
        </is>
      </c>
      <c r="I74" t="inlineStr">
        <is>
          <t>当年注资（万）</t>
        </is>
      </c>
    </row>
    <row r="75">
      <c r="A75" t="inlineStr">
        <is>
          <t>GROUP</t>
        </is>
      </c>
      <c r="D75" s="11" t="n">
        <v>2025</v>
      </c>
      <c r="E75" t="inlineStr">
        <is>
          <t>ACTUAL</t>
        </is>
      </c>
      <c r="F75" s="4" t="inlineStr">
        <is>
          <t>open_pi</t>
        </is>
      </c>
      <c r="G75" s="12" t="n">
        <v>80000</v>
      </c>
      <c r="H75" t="inlineStr">
        <is>
          <t>假设初始化</t>
        </is>
      </c>
      <c r="I75" t="inlineStr">
        <is>
          <t>期初实收资本（万）</t>
        </is>
      </c>
    </row>
    <row r="76">
      <c r="A76" t="inlineStr">
        <is>
          <t>GROUP</t>
        </is>
      </c>
      <c r="D76" s="11" t="n">
        <v>2025</v>
      </c>
      <c r="E76" t="inlineStr">
        <is>
          <t>ACTUAL</t>
        </is>
      </c>
      <c r="F76" s="4" t="inlineStr">
        <is>
          <t>open_re</t>
        </is>
      </c>
      <c r="G76" s="12" t="n">
        <v>20000</v>
      </c>
      <c r="H76" t="inlineStr">
        <is>
          <t>假设初始化</t>
        </is>
      </c>
      <c r="I76" t="inlineStr">
        <is>
          <t>期初未分配利润（万）</t>
        </is>
      </c>
    </row>
    <row r="77">
      <c r="A77" t="inlineStr">
        <is>
          <t>GROUP</t>
        </is>
      </c>
      <c r="D77" s="11" t="n">
        <v>2025</v>
      </c>
      <c r="E77" t="inlineStr">
        <is>
          <t>ACTUAL</t>
        </is>
      </c>
      <c r="F77" s="4" t="inlineStr">
        <is>
          <t>open_store_fa</t>
        </is>
      </c>
      <c r="G77" s="12" t="n">
        <v>36000</v>
      </c>
      <c r="H77" t="inlineStr">
        <is>
          <t>假设初始化</t>
        </is>
      </c>
      <c r="I77" t="inlineStr">
        <is>
          <t>期初门店资产原值（万）</t>
        </is>
      </c>
    </row>
    <row r="78">
      <c r="A78" t="inlineStr">
        <is>
          <t>GROUP</t>
        </is>
      </c>
      <c r="C78" t="inlineStr">
        <is>
          <t>一线</t>
        </is>
      </c>
      <c r="D78" s="11" t="n">
        <v>2025</v>
      </c>
      <c r="E78" t="inlineStr">
        <is>
          <t>ACTUAL</t>
        </is>
      </c>
      <c r="F78" s="4" t="inlineStr">
        <is>
          <t>region_mix</t>
        </is>
      </c>
      <c r="G78" s="12" t="n">
        <v>0.4</v>
      </c>
      <c r="H78" t="inlineStr">
        <is>
          <t>行业研究</t>
        </is>
      </c>
      <c r="I78" t="inlineStr">
        <is>
          <t>收入地区占比</t>
        </is>
      </c>
    </row>
    <row r="79">
      <c r="A79" t="inlineStr">
        <is>
          <t>GROUP</t>
        </is>
      </c>
      <c r="C79" t="inlineStr">
        <is>
          <t>新一线</t>
        </is>
      </c>
      <c r="D79" s="11" t="n">
        <v>2025</v>
      </c>
      <c r="E79" t="inlineStr">
        <is>
          <t>ACTUAL</t>
        </is>
      </c>
      <c r="F79" s="4" t="inlineStr">
        <is>
          <t>region_mix</t>
        </is>
      </c>
      <c r="G79" s="12" t="n">
        <v>0.3</v>
      </c>
      <c r="H79" t="inlineStr">
        <is>
          <t>行业研究</t>
        </is>
      </c>
      <c r="I79" t="inlineStr">
        <is>
          <t>收入地区占比</t>
        </is>
      </c>
    </row>
    <row r="80">
      <c r="A80" t="inlineStr">
        <is>
          <t>GROUP</t>
        </is>
      </c>
      <c r="C80" t="inlineStr">
        <is>
          <t>二线及以下</t>
        </is>
      </c>
      <c r="D80" s="11" t="n">
        <v>2025</v>
      </c>
      <c r="E80" t="inlineStr">
        <is>
          <t>ACTUAL</t>
        </is>
      </c>
      <c r="F80" s="4" t="inlineStr">
        <is>
          <t>region_mix</t>
        </is>
      </c>
      <c r="G80" s="12" t="n">
        <v>0.23</v>
      </c>
      <c r="H80" t="inlineStr">
        <is>
          <t>行业研究</t>
        </is>
      </c>
      <c r="I80" t="inlineStr">
        <is>
          <t>收入地区占比</t>
        </is>
      </c>
    </row>
    <row r="81">
      <c r="A81" t="inlineStr">
        <is>
          <t>GROUP</t>
        </is>
      </c>
      <c r="C81" t="inlineStr">
        <is>
          <t>海外</t>
        </is>
      </c>
      <c r="D81" s="11" t="n">
        <v>2025</v>
      </c>
      <c r="E81" t="inlineStr">
        <is>
          <t>ACTUAL</t>
        </is>
      </c>
      <c r="F81" s="4" t="inlineStr">
        <is>
          <t>region_mix</t>
        </is>
      </c>
      <c r="G81" s="12" t="n">
        <v>0.07000000000000001</v>
      </c>
      <c r="H81" t="inlineStr">
        <is>
          <t>行业研究</t>
        </is>
      </c>
      <c r="I81" t="inlineStr">
        <is>
          <t>收入地区占比</t>
        </is>
      </c>
    </row>
    <row r="82">
      <c r="A82" t="inlineStr">
        <is>
          <t>GROUP</t>
        </is>
      </c>
      <c r="D82" s="13" t="n">
        <v>2026</v>
      </c>
      <c r="E82" t="inlineStr">
        <is>
          <t>BUDGET</t>
        </is>
      </c>
      <c r="F82" s="4" t="inlineStr">
        <is>
          <t>stores</t>
        </is>
      </c>
      <c r="G82" s="12" t="n">
        <v>2300</v>
      </c>
      <c r="H82" t="inlineStr">
        <is>
          <t>门店系统</t>
        </is>
      </c>
      <c r="I82" t="inlineStr">
        <is>
          <t>期末门店数（家）</t>
        </is>
      </c>
    </row>
    <row r="83">
      <c r="A83" t="inlineStr">
        <is>
          <t>GROUP</t>
        </is>
      </c>
      <c r="D83" s="13" t="n">
        <v>2026</v>
      </c>
      <c r="E83" t="inlineStr">
        <is>
          <t>BUDGET</t>
        </is>
      </c>
      <c r="F83" s="4" t="inlineStr">
        <is>
          <t>daily_cups</t>
        </is>
      </c>
      <c r="G83" s="12" t="n">
        <v>480</v>
      </c>
      <c r="H83" t="inlineStr">
        <is>
          <t>POS 汇总</t>
        </is>
      </c>
      <c r="I83" t="inlineStr">
        <is>
          <t>日均杯量/店（杯）</t>
        </is>
      </c>
    </row>
    <row r="84">
      <c r="A84" t="inlineStr">
        <is>
          <t>GROUP</t>
        </is>
      </c>
      <c r="D84" s="13" t="n">
        <v>2026</v>
      </c>
      <c r="E84" t="inlineStr">
        <is>
          <t>BUDGET</t>
        </is>
      </c>
      <c r="F84" s="4" t="inlineStr">
        <is>
          <t>avg_ticket</t>
        </is>
      </c>
      <c r="G84" s="12" t="n">
        <v>16.5</v>
      </c>
      <c r="H84" t="inlineStr">
        <is>
          <t>POS 汇总</t>
        </is>
      </c>
      <c r="I84" t="inlineStr">
        <is>
          <t>客单价（元）</t>
        </is>
      </c>
    </row>
    <row r="85">
      <c r="A85" t="inlineStr">
        <is>
          <t>GROUP</t>
        </is>
      </c>
      <c r="D85" s="13" t="n">
        <v>2026</v>
      </c>
      <c r="E85" t="inlineStr">
        <is>
          <t>BUDGET</t>
        </is>
      </c>
      <c r="F85" s="4" t="inlineStr">
        <is>
          <t>retail_ratio</t>
        </is>
      </c>
      <c r="G85" s="12" t="n">
        <v>0.08</v>
      </c>
      <c r="H85" t="inlineStr">
        <is>
          <t>假设初始化</t>
        </is>
      </c>
      <c r="I85" t="inlineStr">
        <is>
          <t>零售产品占现制比例</t>
        </is>
      </c>
    </row>
    <row r="86">
      <c r="A86" t="inlineStr">
        <is>
          <t>GROUP</t>
        </is>
      </c>
      <c r="D86" s="13" t="n">
        <v>2026</v>
      </c>
      <c r="E86" t="inlineStr">
        <is>
          <t>BUDGET</t>
        </is>
      </c>
      <c r="F86" s="4" t="inlineStr">
        <is>
          <t>cogs_rate</t>
        </is>
      </c>
      <c r="G86" s="12" t="n">
        <v>0.31</v>
      </c>
      <c r="H86" t="inlineStr">
        <is>
          <t>tsdata·A股餐饮校准</t>
        </is>
      </c>
      <c r="I86" t="inlineStr">
        <is>
          <t>原料成本率</t>
        </is>
      </c>
    </row>
    <row r="87">
      <c r="A87" t="inlineStr">
        <is>
          <t>GROUP</t>
        </is>
      </c>
      <c r="D87" s="13" t="n">
        <v>2026</v>
      </c>
      <c r="E87" t="inlineStr">
        <is>
          <t>BUDGET</t>
        </is>
      </c>
      <c r="F87" s="4" t="inlineStr">
        <is>
          <t>store_opex_m</t>
        </is>
      </c>
      <c r="G87" s="12" t="n">
        <v>7.6</v>
      </c>
      <c r="H87" t="inlineStr">
        <is>
          <t>tsdata·A股餐饮校准</t>
        </is>
      </c>
      <c r="I87" t="inlineStr">
        <is>
          <t>单店月运营成本（万）</t>
        </is>
      </c>
    </row>
    <row r="88">
      <c r="A88" t="inlineStr">
        <is>
          <t>GROUP</t>
        </is>
      </c>
      <c r="D88" s="13" t="n">
        <v>2026</v>
      </c>
      <c r="E88" t="inlineStr">
        <is>
          <t>BUDGET</t>
        </is>
      </c>
      <c r="F88" s="4" t="inlineStr">
        <is>
          <t>mkt_rate</t>
        </is>
      </c>
      <c r="G88" s="12" t="n">
        <v>0.058</v>
      </c>
      <c r="H88" t="inlineStr">
        <is>
          <t>tsdata·A股餐饮校准</t>
        </is>
      </c>
      <c r="I88" t="inlineStr">
        <is>
          <t>营销费率</t>
        </is>
      </c>
    </row>
    <row r="89">
      <c r="A89" t="inlineStr">
        <is>
          <t>GROUP</t>
        </is>
      </c>
      <c r="D89" s="13" t="n">
        <v>2026</v>
      </c>
      <c r="E89" t="inlineStr">
        <is>
          <t>BUDGET</t>
        </is>
      </c>
      <c r="F89" s="4" t="inlineStr">
        <is>
          <t>headcount_rd</t>
        </is>
      </c>
      <c r="G89" s="12" t="n">
        <v>60</v>
      </c>
      <c r="H89" t="inlineStr">
        <is>
          <t>假设初始化</t>
        </is>
      </c>
      <c r="I89" t="inlineStr">
        <is>
          <t>研发编制（数字化）</t>
        </is>
      </c>
    </row>
    <row r="90">
      <c r="A90" t="inlineStr">
        <is>
          <t>GROUP</t>
        </is>
      </c>
      <c r="D90" s="13" t="n">
        <v>2026</v>
      </c>
      <c r="E90" t="inlineStr">
        <is>
          <t>BUDGET</t>
        </is>
      </c>
      <c r="F90" s="4" t="inlineStr">
        <is>
          <t>salary_rd</t>
        </is>
      </c>
      <c r="G90" s="12" t="n">
        <v>45</v>
      </c>
      <c r="H90" t="inlineStr">
        <is>
          <t>假设初始化</t>
        </is>
      </c>
      <c r="I90" t="inlineStr">
        <is>
          <t>研发人均全成本（万/年）</t>
        </is>
      </c>
    </row>
    <row r="91">
      <c r="A91" t="inlineStr">
        <is>
          <t>GROUP</t>
        </is>
      </c>
      <c r="D91" s="13" t="n">
        <v>2026</v>
      </c>
      <c r="E91" t="inlineStr">
        <is>
          <t>BUDGET</t>
        </is>
      </c>
      <c r="F91" s="4" t="inlineStr">
        <is>
          <t>headcount_sales</t>
        </is>
      </c>
      <c r="G91" s="12" t="n">
        <v>90</v>
      </c>
      <c r="H91" t="inlineStr">
        <is>
          <t>假设初始化</t>
        </is>
      </c>
      <c r="I91" t="inlineStr">
        <is>
          <t>销售市场编制</t>
        </is>
      </c>
    </row>
    <row r="92">
      <c r="A92" t="inlineStr">
        <is>
          <t>GROUP</t>
        </is>
      </c>
      <c r="D92" s="13" t="n">
        <v>2026</v>
      </c>
      <c r="E92" t="inlineStr">
        <is>
          <t>BUDGET</t>
        </is>
      </c>
      <c r="F92" s="4" t="inlineStr">
        <is>
          <t>salary_sales</t>
        </is>
      </c>
      <c r="G92" s="12" t="n">
        <v>40</v>
      </c>
      <c r="H92" t="inlineStr">
        <is>
          <t>假设初始化</t>
        </is>
      </c>
      <c r="I92" t="inlineStr">
        <is>
          <t>销售人均全成本（万/年）</t>
        </is>
      </c>
    </row>
    <row r="93">
      <c r="A93" t="inlineStr">
        <is>
          <t>GROUP</t>
        </is>
      </c>
      <c r="D93" s="13" t="n">
        <v>2026</v>
      </c>
      <c r="E93" t="inlineStr">
        <is>
          <t>BUDGET</t>
        </is>
      </c>
      <c r="F93" s="4" t="inlineStr">
        <is>
          <t>headcount_gna</t>
        </is>
      </c>
      <c r="G93" s="12" t="n">
        <v>80</v>
      </c>
      <c r="H93" t="inlineStr">
        <is>
          <t>假设初始化</t>
        </is>
      </c>
      <c r="I93" t="inlineStr">
        <is>
          <t>管理编制</t>
        </is>
      </c>
    </row>
    <row r="94">
      <c r="A94" t="inlineStr">
        <is>
          <t>GROUP</t>
        </is>
      </c>
      <c r="D94" s="13" t="n">
        <v>2026</v>
      </c>
      <c r="E94" t="inlineStr">
        <is>
          <t>BUDGET</t>
        </is>
      </c>
      <c r="F94" s="4" t="inlineStr">
        <is>
          <t>salary_gna</t>
        </is>
      </c>
      <c r="G94" s="12" t="n">
        <v>50</v>
      </c>
      <c r="H94" t="inlineStr">
        <is>
          <t>假设初始化</t>
        </is>
      </c>
      <c r="I94" t="inlineStr">
        <is>
          <t>管理人均全成本（万/年）</t>
        </is>
      </c>
    </row>
    <row r="95">
      <c r="A95" t="inlineStr">
        <is>
          <t>GROUP</t>
        </is>
      </c>
      <c r="D95" s="13" t="n">
        <v>2026</v>
      </c>
      <c r="E95" t="inlineStr">
        <is>
          <t>BUDGET</t>
        </is>
      </c>
      <c r="F95" s="4" t="inlineStr">
        <is>
          <t>capex_per_store</t>
        </is>
      </c>
      <c r="G95" s="12" t="n">
        <v>45</v>
      </c>
      <c r="H95" t="inlineStr">
        <is>
          <t>假设初始化</t>
        </is>
      </c>
      <c r="I95" t="inlineStr">
        <is>
          <t>单店投入（万）</t>
        </is>
      </c>
    </row>
    <row r="96">
      <c r="A96" t="inlineStr">
        <is>
          <t>GROUP</t>
        </is>
      </c>
      <c r="D96" s="13" t="n">
        <v>2026</v>
      </c>
      <c r="E96" t="inlineStr">
        <is>
          <t>BUDGET</t>
        </is>
      </c>
      <c r="F96" s="4" t="inlineStr">
        <is>
          <t>tax_rate</t>
        </is>
      </c>
      <c r="G96" s="12" t="n">
        <v>0.25</v>
      </c>
      <c r="H96" t="inlineStr">
        <is>
          <t>假设初始化</t>
        </is>
      </c>
      <c r="I96" t="inlineStr">
        <is>
          <t>所得税率</t>
        </is>
      </c>
    </row>
    <row r="97">
      <c r="A97" t="inlineStr">
        <is>
          <t>GROUP</t>
        </is>
      </c>
      <c r="D97" s="13" t="n">
        <v>2026</v>
      </c>
      <c r="E97" t="inlineStr">
        <is>
          <t>BUDGET</t>
        </is>
      </c>
      <c r="F97" s="4" t="inlineStr">
        <is>
          <t>dso_days</t>
        </is>
      </c>
      <c r="G97" s="12" t="n">
        <v>7</v>
      </c>
      <c r="H97" t="inlineStr">
        <is>
          <t>假设初始化</t>
        </is>
      </c>
      <c r="I97" t="inlineStr">
        <is>
          <t>应收账期（天）</t>
        </is>
      </c>
    </row>
    <row r="98">
      <c r="A98" t="inlineStr">
        <is>
          <t>GROUP</t>
        </is>
      </c>
      <c r="D98" s="13" t="n">
        <v>2026</v>
      </c>
      <c r="E98" t="inlineStr">
        <is>
          <t>BUDGET</t>
        </is>
      </c>
      <c r="F98" s="4" t="inlineStr">
        <is>
          <t>dpo_days</t>
        </is>
      </c>
      <c r="G98" s="12" t="n">
        <v>45</v>
      </c>
      <c r="H98" t="inlineStr">
        <is>
          <t>假设初始化</t>
        </is>
      </c>
      <c r="I98" t="inlineStr">
        <is>
          <t>应付账期（天）</t>
        </is>
      </c>
    </row>
    <row r="99">
      <c r="A99" t="inlineStr">
        <is>
          <t>GROUP</t>
        </is>
      </c>
      <c r="D99" s="13" t="n">
        <v>2026</v>
      </c>
      <c r="E99" t="inlineStr">
        <is>
          <t>BUDGET</t>
        </is>
      </c>
      <c r="F99" s="4" t="inlineStr">
        <is>
          <t>deferred_rate</t>
        </is>
      </c>
      <c r="G99" s="12" t="n">
        <v>0.03</v>
      </c>
      <c r="H99" t="inlineStr">
        <is>
          <t>假设初始化</t>
        </is>
      </c>
      <c r="I99" t="inlineStr">
        <is>
          <t>储值/递延率</t>
        </is>
      </c>
    </row>
    <row r="100">
      <c r="A100" t="inlineStr">
        <is>
          <t>GROUP</t>
        </is>
      </c>
      <c r="D100" s="13" t="n">
        <v>2026</v>
      </c>
      <c r="E100" t="inlineStr">
        <is>
          <t>BUDGET</t>
        </is>
      </c>
      <c r="F100" s="4" t="inlineStr">
        <is>
          <t>equity_inject</t>
        </is>
      </c>
      <c r="G100" s="12" t="n">
        <v>0</v>
      </c>
      <c r="H100" t="inlineStr">
        <is>
          <t>假设初始化</t>
        </is>
      </c>
      <c r="I100" t="inlineStr">
        <is>
          <t>当年注资（万）</t>
        </is>
      </c>
    </row>
    <row r="101">
      <c r="A101" t="inlineStr">
        <is>
          <t>GROUP</t>
        </is>
      </c>
      <c r="D101" s="13" t="n">
        <v>2026</v>
      </c>
      <c r="E101" t="inlineStr">
        <is>
          <t>BUDGET</t>
        </is>
      </c>
      <c r="F101" s="4" t="inlineStr">
        <is>
          <t>open_pi</t>
        </is>
      </c>
      <c r="G101" s="12" t="n">
        <v>80000</v>
      </c>
      <c r="H101" t="inlineStr">
        <is>
          <t>假设初始化</t>
        </is>
      </c>
      <c r="I101" t="inlineStr">
        <is>
          <t>期初实收资本（万）</t>
        </is>
      </c>
    </row>
    <row r="102">
      <c r="A102" t="inlineStr">
        <is>
          <t>GROUP</t>
        </is>
      </c>
      <c r="D102" s="13" t="n">
        <v>2026</v>
      </c>
      <c r="E102" t="inlineStr">
        <is>
          <t>BUDGET</t>
        </is>
      </c>
      <c r="F102" s="4" t="inlineStr">
        <is>
          <t>open_re</t>
        </is>
      </c>
      <c r="G102" s="12" t="n">
        <v>20000</v>
      </c>
      <c r="H102" t="inlineStr">
        <is>
          <t>假设初始化</t>
        </is>
      </c>
      <c r="I102" t="inlineStr">
        <is>
          <t>期初未分配利润（万）</t>
        </is>
      </c>
    </row>
    <row r="103">
      <c r="A103" t="inlineStr">
        <is>
          <t>GROUP</t>
        </is>
      </c>
      <c r="D103" s="13" t="n">
        <v>2026</v>
      </c>
      <c r="E103" t="inlineStr">
        <is>
          <t>BUDGET</t>
        </is>
      </c>
      <c r="F103" s="4" t="inlineStr">
        <is>
          <t>open_store_fa</t>
        </is>
      </c>
      <c r="G103" s="12" t="n">
        <v>36000</v>
      </c>
      <c r="H103" t="inlineStr">
        <is>
          <t>假设初始化</t>
        </is>
      </c>
      <c r="I103" t="inlineStr">
        <is>
          <t>期初门店资产原值（万）</t>
        </is>
      </c>
    </row>
    <row r="104">
      <c r="A104" t="inlineStr">
        <is>
          <t>GROUP</t>
        </is>
      </c>
      <c r="C104" t="inlineStr">
        <is>
          <t>一线</t>
        </is>
      </c>
      <c r="D104" s="13" t="n">
        <v>2026</v>
      </c>
      <c r="E104" t="inlineStr">
        <is>
          <t>BUDGET</t>
        </is>
      </c>
      <c r="F104" s="4" t="inlineStr">
        <is>
          <t>region_mix</t>
        </is>
      </c>
      <c r="G104" s="12" t="n">
        <v>0.38</v>
      </c>
      <c r="H104" t="inlineStr">
        <is>
          <t>行业研究</t>
        </is>
      </c>
      <c r="I104" t="inlineStr">
        <is>
          <t>收入地区占比</t>
        </is>
      </c>
    </row>
    <row r="105">
      <c r="A105" t="inlineStr">
        <is>
          <t>GROUP</t>
        </is>
      </c>
      <c r="C105" t="inlineStr">
        <is>
          <t>新一线</t>
        </is>
      </c>
      <c r="D105" s="13" t="n">
        <v>2026</v>
      </c>
      <c r="E105" t="inlineStr">
        <is>
          <t>BUDGET</t>
        </is>
      </c>
      <c r="F105" s="4" t="inlineStr">
        <is>
          <t>region_mix</t>
        </is>
      </c>
      <c r="G105" s="12" t="n">
        <v>0.3</v>
      </c>
      <c r="H105" t="inlineStr">
        <is>
          <t>行业研究</t>
        </is>
      </c>
      <c r="I105" t="inlineStr">
        <is>
          <t>收入地区占比</t>
        </is>
      </c>
    </row>
    <row r="106">
      <c r="A106" t="inlineStr">
        <is>
          <t>GROUP</t>
        </is>
      </c>
      <c r="C106" t="inlineStr">
        <is>
          <t>二线及以下</t>
        </is>
      </c>
      <c r="D106" s="13" t="n">
        <v>2026</v>
      </c>
      <c r="E106" t="inlineStr">
        <is>
          <t>BUDGET</t>
        </is>
      </c>
      <c r="F106" s="4" t="inlineStr">
        <is>
          <t>region_mix</t>
        </is>
      </c>
      <c r="G106" s="12" t="n">
        <v>0.25</v>
      </c>
      <c r="H106" t="inlineStr">
        <is>
          <t>行业研究</t>
        </is>
      </c>
      <c r="I106" t="inlineStr">
        <is>
          <t>收入地区占比</t>
        </is>
      </c>
    </row>
    <row r="107">
      <c r="A107" t="inlineStr">
        <is>
          <t>GROUP</t>
        </is>
      </c>
      <c r="C107" t="inlineStr">
        <is>
          <t>海外</t>
        </is>
      </c>
      <c r="D107" s="13" t="n">
        <v>2026</v>
      </c>
      <c r="E107" t="inlineStr">
        <is>
          <t>BUDGET</t>
        </is>
      </c>
      <c r="F107" s="4" t="inlineStr">
        <is>
          <t>region_mix</t>
        </is>
      </c>
      <c r="G107" s="12" t="n">
        <v>0.07000000000000001</v>
      </c>
      <c r="H107" t="inlineStr">
        <is>
          <t>行业研究</t>
        </is>
      </c>
      <c r="I107" t="inlineStr">
        <is>
          <t>收入地区占比</t>
        </is>
      </c>
    </row>
    <row r="108">
      <c r="A108" t="inlineStr">
        <is>
          <t>GROUP</t>
        </is>
      </c>
      <c r="D108" s="13" t="n">
        <v>2027</v>
      </c>
      <c r="E108" t="inlineStr">
        <is>
          <t>BUDGET</t>
        </is>
      </c>
      <c r="F108" s="4" t="inlineStr">
        <is>
          <t>stores</t>
        </is>
      </c>
      <c r="G108" s="12" t="n">
        <v>2800</v>
      </c>
      <c r="H108" t="inlineStr">
        <is>
          <t>门店系统</t>
        </is>
      </c>
      <c r="I108" t="inlineStr">
        <is>
          <t>期末门店数（家）</t>
        </is>
      </c>
    </row>
    <row r="109">
      <c r="A109" t="inlineStr">
        <is>
          <t>GROUP</t>
        </is>
      </c>
      <c r="D109" s="13" t="n">
        <v>2027</v>
      </c>
      <c r="E109" t="inlineStr">
        <is>
          <t>BUDGET</t>
        </is>
      </c>
      <c r="F109" s="4" t="inlineStr">
        <is>
          <t>daily_cups</t>
        </is>
      </c>
      <c r="G109" s="12" t="n">
        <v>500</v>
      </c>
      <c r="H109" t="inlineStr">
        <is>
          <t>POS 汇总</t>
        </is>
      </c>
      <c r="I109" t="inlineStr">
        <is>
          <t>日均杯量/店（杯）</t>
        </is>
      </c>
    </row>
    <row r="110">
      <c r="A110" t="inlineStr">
        <is>
          <t>GROUP</t>
        </is>
      </c>
      <c r="D110" s="13" t="n">
        <v>2027</v>
      </c>
      <c r="E110" t="inlineStr">
        <is>
          <t>BUDGET</t>
        </is>
      </c>
      <c r="F110" s="4" t="inlineStr">
        <is>
          <t>avg_ticket</t>
        </is>
      </c>
      <c r="G110" s="12" t="n">
        <v>17</v>
      </c>
      <c r="H110" t="inlineStr">
        <is>
          <t>POS 汇总</t>
        </is>
      </c>
      <c r="I110" t="inlineStr">
        <is>
          <t>客单价（元）</t>
        </is>
      </c>
    </row>
    <row r="111">
      <c r="A111" t="inlineStr">
        <is>
          <t>GROUP</t>
        </is>
      </c>
      <c r="D111" s="13" t="n">
        <v>2027</v>
      </c>
      <c r="E111" t="inlineStr">
        <is>
          <t>BUDGET</t>
        </is>
      </c>
      <c r="F111" s="4" t="inlineStr">
        <is>
          <t>retail_ratio</t>
        </is>
      </c>
      <c r="G111" s="12" t="n">
        <v>0.08</v>
      </c>
      <c r="H111" t="inlineStr">
        <is>
          <t>假设初始化</t>
        </is>
      </c>
      <c r="I111" t="inlineStr">
        <is>
          <t>零售产品占现制比例</t>
        </is>
      </c>
    </row>
    <row r="112">
      <c r="A112" t="inlineStr">
        <is>
          <t>GROUP</t>
        </is>
      </c>
      <c r="D112" s="13" t="n">
        <v>2027</v>
      </c>
      <c r="E112" t="inlineStr">
        <is>
          <t>BUDGET</t>
        </is>
      </c>
      <c r="F112" s="4" t="inlineStr">
        <is>
          <t>cogs_rate</t>
        </is>
      </c>
      <c r="G112" s="12" t="n">
        <v>0.305</v>
      </c>
      <c r="H112" t="inlineStr">
        <is>
          <t>tsdata·A股餐饮校准</t>
        </is>
      </c>
      <c r="I112" t="inlineStr">
        <is>
          <t>原料成本率</t>
        </is>
      </c>
    </row>
    <row r="113">
      <c r="A113" t="inlineStr">
        <is>
          <t>GROUP</t>
        </is>
      </c>
      <c r="D113" s="13" t="n">
        <v>2027</v>
      </c>
      <c r="E113" t="inlineStr">
        <is>
          <t>BUDGET</t>
        </is>
      </c>
      <c r="F113" s="4" t="inlineStr">
        <is>
          <t>store_opex_m</t>
        </is>
      </c>
      <c r="G113" s="12" t="n">
        <v>8</v>
      </c>
      <c r="H113" t="inlineStr">
        <is>
          <t>tsdata·A股餐饮校准</t>
        </is>
      </c>
      <c r="I113" t="inlineStr">
        <is>
          <t>单店月运营成本（万）</t>
        </is>
      </c>
    </row>
    <row r="114">
      <c r="A114" t="inlineStr">
        <is>
          <t>GROUP</t>
        </is>
      </c>
      <c r="D114" s="13" t="n">
        <v>2027</v>
      </c>
      <c r="E114" t="inlineStr">
        <is>
          <t>BUDGET</t>
        </is>
      </c>
      <c r="F114" s="4" t="inlineStr">
        <is>
          <t>mkt_rate</t>
        </is>
      </c>
      <c r="G114" s="12" t="n">
        <v>0.052</v>
      </c>
      <c r="H114" t="inlineStr">
        <is>
          <t>tsdata·A股餐饮校准</t>
        </is>
      </c>
      <c r="I114" t="inlineStr">
        <is>
          <t>营销费率</t>
        </is>
      </c>
    </row>
    <row r="115">
      <c r="A115" t="inlineStr">
        <is>
          <t>GROUP</t>
        </is>
      </c>
      <c r="D115" s="13" t="n">
        <v>2027</v>
      </c>
      <c r="E115" t="inlineStr">
        <is>
          <t>BUDGET</t>
        </is>
      </c>
      <c r="F115" s="4" t="inlineStr">
        <is>
          <t>headcount_rd</t>
        </is>
      </c>
      <c r="G115" s="12" t="n">
        <v>70</v>
      </c>
      <c r="H115" t="inlineStr">
        <is>
          <t>假设初始化</t>
        </is>
      </c>
      <c r="I115" t="inlineStr">
        <is>
          <t>研发编制（数字化）</t>
        </is>
      </c>
    </row>
    <row r="116">
      <c r="A116" t="inlineStr">
        <is>
          <t>GROUP</t>
        </is>
      </c>
      <c r="D116" s="13" t="n">
        <v>2027</v>
      </c>
      <c r="E116" t="inlineStr">
        <is>
          <t>BUDGET</t>
        </is>
      </c>
      <c r="F116" s="4" t="inlineStr">
        <is>
          <t>salary_rd</t>
        </is>
      </c>
      <c r="G116" s="12" t="n">
        <v>45</v>
      </c>
      <c r="H116" t="inlineStr">
        <is>
          <t>假设初始化</t>
        </is>
      </c>
      <c r="I116" t="inlineStr">
        <is>
          <t>研发人均全成本（万/年）</t>
        </is>
      </c>
    </row>
    <row r="117">
      <c r="A117" t="inlineStr">
        <is>
          <t>GROUP</t>
        </is>
      </c>
      <c r="D117" s="13" t="n">
        <v>2027</v>
      </c>
      <c r="E117" t="inlineStr">
        <is>
          <t>BUDGET</t>
        </is>
      </c>
      <c r="F117" s="4" t="inlineStr">
        <is>
          <t>headcount_sales</t>
        </is>
      </c>
      <c r="G117" s="12" t="n">
        <v>105</v>
      </c>
      <c r="H117" t="inlineStr">
        <is>
          <t>假设初始化</t>
        </is>
      </c>
      <c r="I117" t="inlineStr">
        <is>
          <t>销售市场编制</t>
        </is>
      </c>
    </row>
    <row r="118">
      <c r="A118" t="inlineStr">
        <is>
          <t>GROUP</t>
        </is>
      </c>
      <c r="D118" s="13" t="n">
        <v>2027</v>
      </c>
      <c r="E118" t="inlineStr">
        <is>
          <t>BUDGET</t>
        </is>
      </c>
      <c r="F118" s="4" t="inlineStr">
        <is>
          <t>salary_sales</t>
        </is>
      </c>
      <c r="G118" s="12" t="n">
        <v>40</v>
      </c>
      <c r="H118" t="inlineStr">
        <is>
          <t>假设初始化</t>
        </is>
      </c>
      <c r="I118" t="inlineStr">
        <is>
          <t>销售人均全成本（万/年）</t>
        </is>
      </c>
    </row>
    <row r="119">
      <c r="A119" t="inlineStr">
        <is>
          <t>GROUP</t>
        </is>
      </c>
      <c r="D119" s="13" t="n">
        <v>2027</v>
      </c>
      <c r="E119" t="inlineStr">
        <is>
          <t>BUDGET</t>
        </is>
      </c>
      <c r="F119" s="4" t="inlineStr">
        <is>
          <t>headcount_gna</t>
        </is>
      </c>
      <c r="G119" s="12" t="n">
        <v>90</v>
      </c>
      <c r="H119" t="inlineStr">
        <is>
          <t>假设初始化</t>
        </is>
      </c>
      <c r="I119" t="inlineStr">
        <is>
          <t>管理编制</t>
        </is>
      </c>
    </row>
    <row r="120">
      <c r="A120" t="inlineStr">
        <is>
          <t>GROUP</t>
        </is>
      </c>
      <c r="D120" s="13" t="n">
        <v>2027</v>
      </c>
      <c r="E120" t="inlineStr">
        <is>
          <t>BUDGET</t>
        </is>
      </c>
      <c r="F120" s="4" t="inlineStr">
        <is>
          <t>salary_gna</t>
        </is>
      </c>
      <c r="G120" s="12" t="n">
        <v>50</v>
      </c>
      <c r="H120" t="inlineStr">
        <is>
          <t>假设初始化</t>
        </is>
      </c>
      <c r="I120" t="inlineStr">
        <is>
          <t>管理人均全成本（万/年）</t>
        </is>
      </c>
    </row>
    <row r="121">
      <c r="A121" t="inlineStr">
        <is>
          <t>GROUP</t>
        </is>
      </c>
      <c r="D121" s="13" t="n">
        <v>2027</v>
      </c>
      <c r="E121" t="inlineStr">
        <is>
          <t>BUDGET</t>
        </is>
      </c>
      <c r="F121" s="4" t="inlineStr">
        <is>
          <t>capex_per_store</t>
        </is>
      </c>
      <c r="G121" s="12" t="n">
        <v>45</v>
      </c>
      <c r="H121" t="inlineStr">
        <is>
          <t>假设初始化</t>
        </is>
      </c>
      <c r="I121" t="inlineStr">
        <is>
          <t>单店投入（万）</t>
        </is>
      </c>
    </row>
    <row r="122">
      <c r="A122" t="inlineStr">
        <is>
          <t>GROUP</t>
        </is>
      </c>
      <c r="D122" s="13" t="n">
        <v>2027</v>
      </c>
      <c r="E122" t="inlineStr">
        <is>
          <t>BUDGET</t>
        </is>
      </c>
      <c r="F122" s="4" t="inlineStr">
        <is>
          <t>tax_rate</t>
        </is>
      </c>
      <c r="G122" s="12" t="n">
        <v>0.25</v>
      </c>
      <c r="H122" t="inlineStr">
        <is>
          <t>假设初始化</t>
        </is>
      </c>
      <c r="I122" t="inlineStr">
        <is>
          <t>所得税率</t>
        </is>
      </c>
    </row>
    <row r="123">
      <c r="A123" t="inlineStr">
        <is>
          <t>GROUP</t>
        </is>
      </c>
      <c r="D123" s="13" t="n">
        <v>2027</v>
      </c>
      <c r="E123" t="inlineStr">
        <is>
          <t>BUDGET</t>
        </is>
      </c>
      <c r="F123" s="4" t="inlineStr">
        <is>
          <t>dso_days</t>
        </is>
      </c>
      <c r="G123" s="12" t="n">
        <v>7</v>
      </c>
      <c r="H123" t="inlineStr">
        <is>
          <t>假设初始化</t>
        </is>
      </c>
      <c r="I123" t="inlineStr">
        <is>
          <t>应收账期（天）</t>
        </is>
      </c>
    </row>
    <row r="124">
      <c r="A124" t="inlineStr">
        <is>
          <t>GROUP</t>
        </is>
      </c>
      <c r="D124" s="13" t="n">
        <v>2027</v>
      </c>
      <c r="E124" t="inlineStr">
        <is>
          <t>BUDGET</t>
        </is>
      </c>
      <c r="F124" s="4" t="inlineStr">
        <is>
          <t>dpo_days</t>
        </is>
      </c>
      <c r="G124" s="12" t="n">
        <v>45</v>
      </c>
      <c r="H124" t="inlineStr">
        <is>
          <t>假设初始化</t>
        </is>
      </c>
      <c r="I124" t="inlineStr">
        <is>
          <t>应付账期（天）</t>
        </is>
      </c>
    </row>
    <row r="125">
      <c r="A125" t="inlineStr">
        <is>
          <t>GROUP</t>
        </is>
      </c>
      <c r="D125" s="13" t="n">
        <v>2027</v>
      </c>
      <c r="E125" t="inlineStr">
        <is>
          <t>BUDGET</t>
        </is>
      </c>
      <c r="F125" s="4" t="inlineStr">
        <is>
          <t>deferred_rate</t>
        </is>
      </c>
      <c r="G125" s="12" t="n">
        <v>0.03</v>
      </c>
      <c r="H125" t="inlineStr">
        <is>
          <t>假设初始化</t>
        </is>
      </c>
      <c r="I125" t="inlineStr">
        <is>
          <t>储值/递延率</t>
        </is>
      </c>
    </row>
    <row r="126">
      <c r="A126" t="inlineStr">
        <is>
          <t>GROUP</t>
        </is>
      </c>
      <c r="D126" s="13" t="n">
        <v>2027</v>
      </c>
      <c r="E126" t="inlineStr">
        <is>
          <t>BUDGET</t>
        </is>
      </c>
      <c r="F126" s="4" t="inlineStr">
        <is>
          <t>equity_inject</t>
        </is>
      </c>
      <c r="G126" s="12" t="n">
        <v>0</v>
      </c>
      <c r="H126" t="inlineStr">
        <is>
          <t>假设初始化</t>
        </is>
      </c>
      <c r="I126" t="inlineStr">
        <is>
          <t>当年注资（万）</t>
        </is>
      </c>
    </row>
    <row r="127">
      <c r="A127" t="inlineStr">
        <is>
          <t>GROUP</t>
        </is>
      </c>
      <c r="D127" s="13" t="n">
        <v>2027</v>
      </c>
      <c r="E127" t="inlineStr">
        <is>
          <t>BUDGET</t>
        </is>
      </c>
      <c r="F127" s="4" t="inlineStr">
        <is>
          <t>open_pi</t>
        </is>
      </c>
      <c r="G127" s="12" t="n">
        <v>80000</v>
      </c>
      <c r="H127" t="inlineStr">
        <is>
          <t>假设初始化</t>
        </is>
      </c>
      <c r="I127" t="inlineStr">
        <is>
          <t>期初实收资本（万）</t>
        </is>
      </c>
    </row>
    <row r="128">
      <c r="A128" t="inlineStr">
        <is>
          <t>GROUP</t>
        </is>
      </c>
      <c r="D128" s="13" t="n">
        <v>2027</v>
      </c>
      <c r="E128" t="inlineStr">
        <is>
          <t>BUDGET</t>
        </is>
      </c>
      <c r="F128" s="4" t="inlineStr">
        <is>
          <t>open_re</t>
        </is>
      </c>
      <c r="G128" s="12" t="n">
        <v>20000</v>
      </c>
      <c r="H128" t="inlineStr">
        <is>
          <t>假设初始化</t>
        </is>
      </c>
      <c r="I128" t="inlineStr">
        <is>
          <t>期初未分配利润（万）</t>
        </is>
      </c>
    </row>
    <row r="129">
      <c r="A129" t="inlineStr">
        <is>
          <t>GROUP</t>
        </is>
      </c>
      <c r="D129" s="13" t="n">
        <v>2027</v>
      </c>
      <c r="E129" t="inlineStr">
        <is>
          <t>BUDGET</t>
        </is>
      </c>
      <c r="F129" s="4" t="inlineStr">
        <is>
          <t>open_store_fa</t>
        </is>
      </c>
      <c r="G129" s="12" t="n">
        <v>36000</v>
      </c>
      <c r="H129" t="inlineStr">
        <is>
          <t>假设初始化</t>
        </is>
      </c>
      <c r="I129" t="inlineStr">
        <is>
          <t>期初门店资产原值（万）</t>
        </is>
      </c>
    </row>
    <row r="130">
      <c r="A130" t="inlineStr">
        <is>
          <t>GROUP</t>
        </is>
      </c>
      <c r="C130" t="inlineStr">
        <is>
          <t>一线</t>
        </is>
      </c>
      <c r="D130" s="13" t="n">
        <v>2027</v>
      </c>
      <c r="E130" t="inlineStr">
        <is>
          <t>BUDGET</t>
        </is>
      </c>
      <c r="F130" s="4" t="inlineStr">
        <is>
          <t>region_mix</t>
        </is>
      </c>
      <c r="G130" s="12" t="n">
        <v>0.36</v>
      </c>
      <c r="H130" t="inlineStr">
        <is>
          <t>行业研究</t>
        </is>
      </c>
      <c r="I130" t="inlineStr">
        <is>
          <t>收入地区占比</t>
        </is>
      </c>
    </row>
    <row r="131">
      <c r="A131" t="inlineStr">
        <is>
          <t>GROUP</t>
        </is>
      </c>
      <c r="C131" t="inlineStr">
        <is>
          <t>新一线</t>
        </is>
      </c>
      <c r="D131" s="13" t="n">
        <v>2027</v>
      </c>
      <c r="E131" t="inlineStr">
        <is>
          <t>BUDGET</t>
        </is>
      </c>
      <c r="F131" s="4" t="inlineStr">
        <is>
          <t>region_mix</t>
        </is>
      </c>
      <c r="G131" s="12" t="n">
        <v>0.3</v>
      </c>
      <c r="H131" t="inlineStr">
        <is>
          <t>行业研究</t>
        </is>
      </c>
      <c r="I131" t="inlineStr">
        <is>
          <t>收入地区占比</t>
        </is>
      </c>
    </row>
    <row r="132">
      <c r="A132" t="inlineStr">
        <is>
          <t>GROUP</t>
        </is>
      </c>
      <c r="C132" t="inlineStr">
        <is>
          <t>二线及以下</t>
        </is>
      </c>
      <c r="D132" s="13" t="n">
        <v>2027</v>
      </c>
      <c r="E132" t="inlineStr">
        <is>
          <t>BUDGET</t>
        </is>
      </c>
      <c r="F132" s="4" t="inlineStr">
        <is>
          <t>region_mix</t>
        </is>
      </c>
      <c r="G132" s="12" t="n">
        <v>0.27</v>
      </c>
      <c r="H132" t="inlineStr">
        <is>
          <t>行业研究</t>
        </is>
      </c>
      <c r="I132" t="inlineStr">
        <is>
          <t>收入地区占比</t>
        </is>
      </c>
    </row>
    <row r="133">
      <c r="A133" t="inlineStr">
        <is>
          <t>GROUP</t>
        </is>
      </c>
      <c r="C133" t="inlineStr">
        <is>
          <t>海外</t>
        </is>
      </c>
      <c r="D133" s="13" t="n">
        <v>2027</v>
      </c>
      <c r="E133" t="inlineStr">
        <is>
          <t>BUDGET</t>
        </is>
      </c>
      <c r="F133" s="4" t="inlineStr">
        <is>
          <t>region_mix</t>
        </is>
      </c>
      <c r="G133" s="12" t="n">
        <v>0.07000000000000001</v>
      </c>
      <c r="H133" t="inlineStr">
        <is>
          <t>行业研究</t>
        </is>
      </c>
      <c r="I133" t="inlineStr">
        <is>
          <t>收入地区占比</t>
        </is>
      </c>
    </row>
  </sheetData>
  <autoFilter ref="A3:I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G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4" t="inlineStr">
        <is>
          <t>山雾咖啡 · 指标视图层</t>
        </is>
      </c>
    </row>
    <row r="2">
      <c r="A2" s="2" t="inlineStr">
        <is>
          <t>全部实时取自 Meta（SUMIFS）| 改数请改 Meta!G 列 | 万元</t>
        </is>
      </c>
    </row>
    <row r="3">
      <c r="A3" s="5" t="inlineStr">
        <is>
          <t>科目（万元）</t>
        </is>
      </c>
      <c r="B3" s="5" t="inlineStr">
        <is>
          <t>备注</t>
        </is>
      </c>
      <c r="C3" s="15" t="n">
        <v>2023</v>
      </c>
      <c r="D3" s="15" t="n">
        <v>2024</v>
      </c>
      <c r="E3" s="15" t="n">
        <v>2025</v>
      </c>
      <c r="F3" s="16" t="n">
        <v>2026</v>
      </c>
      <c r="G3" s="16" t="n">
        <v>2027</v>
      </c>
    </row>
    <row r="4">
      <c r="A4" s="17" t="inlineStr">
        <is>
          <t>── 量×价 驱动 ──</t>
        </is>
      </c>
    </row>
    <row r="5">
      <c r="A5" s="18" t="inlineStr">
        <is>
          <t>期末门店数（家）</t>
        </is>
      </c>
      <c r="C5" s="19">
        <f>SUMIFS(Meta!$G$2:$G$400,Meta!$F$2:$F$400,"stores",Meta!$D$2:$D$400,C$3,Meta!$A$2:$A$400,"GROUP")</f>
        <v/>
      </c>
      <c r="D5" s="19">
        <f>SUMIFS(Meta!$G$2:$G$400,Meta!$F$2:$F$400,"stores",Meta!$D$2:$D$400,D$3,Meta!$A$2:$A$400,"GROUP")</f>
        <v/>
      </c>
      <c r="E5" s="19">
        <f>SUMIFS(Meta!$G$2:$G$400,Meta!$F$2:$F$400,"stores",Meta!$D$2:$D$400,E$3,Meta!$A$2:$A$400,"GROUP")</f>
        <v/>
      </c>
      <c r="F5" s="19">
        <f>SUMIFS(Meta!$G$2:$G$400,Meta!$F$2:$F$400,"stores",Meta!$D$2:$D$400,F$3,Meta!$A$2:$A$400,"GROUP")</f>
        <v/>
      </c>
      <c r="G5" s="19">
        <f>SUMIFS(Meta!$G$2:$G$400,Meta!$F$2:$F$400,"stores",Meta!$D$2:$D$400,G$3,Meta!$A$2:$A$400,"GROUP")</f>
        <v/>
      </c>
    </row>
    <row r="6">
      <c r="A6" s="18" t="inlineStr">
        <is>
          <t>日均杯量/店（杯）</t>
        </is>
      </c>
      <c r="C6" s="19">
        <f>SUMIFS(Meta!$G$2:$G$400,Meta!$F$2:$F$400,"daily_cups",Meta!$D$2:$D$400,C$3,Meta!$A$2:$A$400,"GROUP")</f>
        <v/>
      </c>
      <c r="D6" s="19">
        <f>SUMIFS(Meta!$G$2:$G$400,Meta!$F$2:$F$400,"daily_cups",Meta!$D$2:$D$400,D$3,Meta!$A$2:$A$400,"GROUP")</f>
        <v/>
      </c>
      <c r="E6" s="19">
        <f>SUMIFS(Meta!$G$2:$G$400,Meta!$F$2:$F$400,"daily_cups",Meta!$D$2:$D$400,E$3,Meta!$A$2:$A$400,"GROUP")</f>
        <v/>
      </c>
      <c r="F6" s="19">
        <f>SUMIFS(Meta!$G$2:$G$400,Meta!$F$2:$F$400,"daily_cups",Meta!$D$2:$D$400,F$3,Meta!$A$2:$A$400,"GROUP")</f>
        <v/>
      </c>
      <c r="G6" s="19">
        <f>SUMIFS(Meta!$G$2:$G$400,Meta!$F$2:$F$400,"daily_cups",Meta!$D$2:$D$400,G$3,Meta!$A$2:$A$400,"GROUP")</f>
        <v/>
      </c>
    </row>
    <row r="7">
      <c r="A7" s="18" t="inlineStr">
        <is>
          <t>客单价（元）</t>
        </is>
      </c>
      <c r="C7" s="20">
        <f>SUMIFS(Meta!$G$2:$G$400,Meta!$F$2:$F$400,"avg_ticket",Meta!$D$2:$D$400,C$3,Meta!$A$2:$A$400,"GROUP")</f>
        <v/>
      </c>
      <c r="D7" s="20">
        <f>SUMIFS(Meta!$G$2:$G$400,Meta!$F$2:$F$400,"avg_ticket",Meta!$D$2:$D$400,D$3,Meta!$A$2:$A$400,"GROUP")</f>
        <v/>
      </c>
      <c r="E7" s="20">
        <f>SUMIFS(Meta!$G$2:$G$400,Meta!$F$2:$F$400,"avg_ticket",Meta!$D$2:$D$400,E$3,Meta!$A$2:$A$400,"GROUP")</f>
        <v/>
      </c>
      <c r="F7" s="20">
        <f>SUMIFS(Meta!$G$2:$G$400,Meta!$F$2:$F$400,"avg_ticket",Meta!$D$2:$D$400,F$3,Meta!$A$2:$A$400,"GROUP")</f>
        <v/>
      </c>
      <c r="G7" s="20">
        <f>SUMIFS(Meta!$G$2:$G$400,Meta!$F$2:$F$400,"avg_ticket",Meta!$D$2:$D$400,G$3,Meta!$A$2:$A$400,"GROUP")</f>
        <v/>
      </c>
    </row>
    <row r="8">
      <c r="A8" s="18" t="inlineStr">
        <is>
          <t>零售占现制比例</t>
        </is>
      </c>
      <c r="C8" s="21">
        <f>SUMIFS(Meta!$G$2:$G$400,Meta!$F$2:$F$400,"retail_ratio",Meta!$D$2:$D$400,C$3,Meta!$A$2:$A$400,"GROUP")</f>
        <v/>
      </c>
      <c r="D8" s="21">
        <f>SUMIFS(Meta!$G$2:$G$400,Meta!$F$2:$F$400,"retail_ratio",Meta!$D$2:$D$400,D$3,Meta!$A$2:$A$400,"GROUP")</f>
        <v/>
      </c>
      <c r="E8" s="21">
        <f>SUMIFS(Meta!$G$2:$G$400,Meta!$F$2:$F$400,"retail_ratio",Meta!$D$2:$D$400,E$3,Meta!$A$2:$A$400,"GROUP")</f>
        <v/>
      </c>
      <c r="F8" s="21">
        <f>SUMIFS(Meta!$G$2:$G$400,Meta!$F$2:$F$400,"retail_ratio",Meta!$D$2:$D$400,F$3,Meta!$A$2:$A$400,"GROUP")</f>
        <v/>
      </c>
      <c r="G8" s="21">
        <f>SUMIFS(Meta!$G$2:$G$400,Meta!$F$2:$F$400,"retail_ratio",Meta!$D$2:$D$400,G$3,Meta!$A$2:$A$400,"GROUP")</f>
        <v/>
      </c>
    </row>
    <row r="9">
      <c r="A9" s="17" t="inlineStr">
        <is>
          <t>── 成本 ──</t>
        </is>
      </c>
    </row>
    <row r="10">
      <c r="A10" s="18" t="inlineStr">
        <is>
          <t>原料成本率</t>
        </is>
      </c>
      <c r="C10" s="21">
        <f>SUMIFS(Meta!$G$2:$G$400,Meta!$F$2:$F$400,"cogs_rate",Meta!$D$2:$D$400,C$3,Meta!$A$2:$A$400,"GROUP")</f>
        <v/>
      </c>
      <c r="D10" s="21">
        <f>SUMIFS(Meta!$G$2:$G$400,Meta!$F$2:$F$400,"cogs_rate",Meta!$D$2:$D$400,D$3,Meta!$A$2:$A$400,"GROUP")</f>
        <v/>
      </c>
      <c r="E10" s="21">
        <f>SUMIFS(Meta!$G$2:$G$400,Meta!$F$2:$F$400,"cogs_rate",Meta!$D$2:$D$400,E$3,Meta!$A$2:$A$400,"GROUP")</f>
        <v/>
      </c>
      <c r="F10" s="21">
        <f>SUMIFS(Meta!$G$2:$G$400,Meta!$F$2:$F$400,"cogs_rate",Meta!$D$2:$D$400,F$3,Meta!$A$2:$A$400,"GROUP")</f>
        <v/>
      </c>
      <c r="G10" s="21">
        <f>SUMIFS(Meta!$G$2:$G$400,Meta!$F$2:$F$400,"cogs_rate",Meta!$D$2:$D$400,G$3,Meta!$A$2:$A$400,"GROUP")</f>
        <v/>
      </c>
    </row>
    <row r="11">
      <c r="A11" s="18" t="inlineStr">
        <is>
          <t>单店月运营（万）</t>
        </is>
      </c>
      <c r="C11" s="20">
        <f>SUMIFS(Meta!$G$2:$G$400,Meta!$F$2:$F$400,"store_opex_m",Meta!$D$2:$D$400,C$3,Meta!$A$2:$A$400,"GROUP")</f>
        <v/>
      </c>
      <c r="D11" s="20">
        <f>SUMIFS(Meta!$G$2:$G$400,Meta!$F$2:$F$400,"store_opex_m",Meta!$D$2:$D$400,D$3,Meta!$A$2:$A$400,"GROUP")</f>
        <v/>
      </c>
      <c r="E11" s="20">
        <f>SUMIFS(Meta!$G$2:$G$400,Meta!$F$2:$F$400,"store_opex_m",Meta!$D$2:$D$400,E$3,Meta!$A$2:$A$400,"GROUP")</f>
        <v/>
      </c>
      <c r="F11" s="20">
        <f>SUMIFS(Meta!$G$2:$G$400,Meta!$F$2:$F$400,"store_opex_m",Meta!$D$2:$D$400,F$3,Meta!$A$2:$A$400,"GROUP")</f>
        <v/>
      </c>
      <c r="G11" s="20">
        <f>SUMIFS(Meta!$G$2:$G$400,Meta!$F$2:$F$400,"store_opex_m",Meta!$D$2:$D$400,G$3,Meta!$A$2:$A$400,"GROUP")</f>
        <v/>
      </c>
    </row>
    <row r="12">
      <c r="A12" s="18" t="inlineStr">
        <is>
          <t>营销费率</t>
        </is>
      </c>
      <c r="C12" s="21">
        <f>SUMIFS(Meta!$G$2:$G$400,Meta!$F$2:$F$400,"mkt_rate",Meta!$D$2:$D$400,C$3,Meta!$A$2:$A$400,"GROUP")</f>
        <v/>
      </c>
      <c r="D12" s="21">
        <f>SUMIFS(Meta!$G$2:$G$400,Meta!$F$2:$F$400,"mkt_rate",Meta!$D$2:$D$400,D$3,Meta!$A$2:$A$400,"GROUP")</f>
        <v/>
      </c>
      <c r="E12" s="21">
        <f>SUMIFS(Meta!$G$2:$G$400,Meta!$F$2:$F$400,"mkt_rate",Meta!$D$2:$D$400,E$3,Meta!$A$2:$A$400,"GROUP")</f>
        <v/>
      </c>
      <c r="F12" s="21">
        <f>SUMIFS(Meta!$G$2:$G$400,Meta!$F$2:$F$400,"mkt_rate",Meta!$D$2:$D$400,F$3,Meta!$A$2:$A$400,"GROUP")</f>
        <v/>
      </c>
      <c r="G12" s="21">
        <f>SUMIFS(Meta!$G$2:$G$400,Meta!$F$2:$F$400,"mkt_rate",Meta!$D$2:$D$400,G$3,Meta!$A$2:$A$400,"GROUP")</f>
        <v/>
      </c>
    </row>
    <row r="13">
      <c r="A13" s="17" t="inlineStr">
        <is>
          <t>── 总部与结构 ──</t>
        </is>
      </c>
    </row>
    <row r="14">
      <c r="A14" s="18" t="inlineStr">
        <is>
          <t>研发编制</t>
        </is>
      </c>
      <c r="C14" s="19">
        <f>SUMIFS(Meta!$G$2:$G$400,Meta!$F$2:$F$400,"headcount_rd",Meta!$D$2:$D$400,C$3,Meta!$A$2:$A$400,"GROUP")</f>
        <v/>
      </c>
      <c r="D14" s="19">
        <f>SUMIFS(Meta!$G$2:$G$400,Meta!$F$2:$F$400,"headcount_rd",Meta!$D$2:$D$400,D$3,Meta!$A$2:$A$400,"GROUP")</f>
        <v/>
      </c>
      <c r="E14" s="19">
        <f>SUMIFS(Meta!$G$2:$G$400,Meta!$F$2:$F$400,"headcount_rd",Meta!$D$2:$D$400,E$3,Meta!$A$2:$A$400,"GROUP")</f>
        <v/>
      </c>
      <c r="F14" s="19">
        <f>SUMIFS(Meta!$G$2:$G$400,Meta!$F$2:$F$400,"headcount_rd",Meta!$D$2:$D$400,F$3,Meta!$A$2:$A$400,"GROUP")</f>
        <v/>
      </c>
      <c r="G14" s="19">
        <f>SUMIFS(Meta!$G$2:$G$400,Meta!$F$2:$F$400,"headcount_rd",Meta!$D$2:$D$400,G$3,Meta!$A$2:$A$400,"GROUP")</f>
        <v/>
      </c>
    </row>
    <row r="15">
      <c r="A15" s="18" t="inlineStr">
        <is>
          <t>销售市场编制</t>
        </is>
      </c>
      <c r="C15" s="19">
        <f>SUMIFS(Meta!$G$2:$G$400,Meta!$F$2:$F$400,"headcount_sales",Meta!$D$2:$D$400,C$3,Meta!$A$2:$A$400,"GROUP")</f>
        <v/>
      </c>
      <c r="D15" s="19">
        <f>SUMIFS(Meta!$G$2:$G$400,Meta!$F$2:$F$400,"headcount_sales",Meta!$D$2:$D$400,D$3,Meta!$A$2:$A$400,"GROUP")</f>
        <v/>
      </c>
      <c r="E15" s="19">
        <f>SUMIFS(Meta!$G$2:$G$400,Meta!$F$2:$F$400,"headcount_sales",Meta!$D$2:$D$400,E$3,Meta!$A$2:$A$400,"GROUP")</f>
        <v/>
      </c>
      <c r="F15" s="19">
        <f>SUMIFS(Meta!$G$2:$G$400,Meta!$F$2:$F$400,"headcount_sales",Meta!$D$2:$D$400,F$3,Meta!$A$2:$A$400,"GROUP")</f>
        <v/>
      </c>
      <c r="G15" s="19">
        <f>SUMIFS(Meta!$G$2:$G$400,Meta!$F$2:$F$400,"headcount_sales",Meta!$D$2:$D$400,G$3,Meta!$A$2:$A$400,"GROUP")</f>
        <v/>
      </c>
    </row>
    <row r="16">
      <c r="A16" s="18" t="inlineStr">
        <is>
          <t>管理编制</t>
        </is>
      </c>
      <c r="C16" s="19">
        <f>SUMIFS(Meta!$G$2:$G$400,Meta!$F$2:$F$400,"headcount_gna",Meta!$D$2:$D$400,C$3,Meta!$A$2:$A$400,"GROUP")</f>
        <v/>
      </c>
      <c r="D16" s="19">
        <f>SUMIFS(Meta!$G$2:$G$400,Meta!$F$2:$F$400,"headcount_gna",Meta!$D$2:$D$400,D$3,Meta!$A$2:$A$400,"GROUP")</f>
        <v/>
      </c>
      <c r="E16" s="19">
        <f>SUMIFS(Meta!$G$2:$G$400,Meta!$F$2:$F$400,"headcount_gna",Meta!$D$2:$D$400,E$3,Meta!$A$2:$A$400,"GROUP")</f>
        <v/>
      </c>
      <c r="F16" s="19">
        <f>SUMIFS(Meta!$G$2:$G$400,Meta!$F$2:$F$400,"headcount_gna",Meta!$D$2:$D$400,F$3,Meta!$A$2:$A$400,"GROUP")</f>
        <v/>
      </c>
      <c r="G16" s="19">
        <f>SUMIFS(Meta!$G$2:$G$400,Meta!$F$2:$F$400,"headcount_gna",Meta!$D$2:$D$400,G$3,Meta!$A$2:$A$400,"GROUP")</f>
        <v/>
      </c>
    </row>
    <row r="17">
      <c r="A17" s="18" t="inlineStr">
        <is>
          <t>研发人均（万/年）</t>
        </is>
      </c>
      <c r="C17" s="20">
        <f>SUMIFS(Meta!$G$2:$G$400,Meta!$F$2:$F$400,"salary_rd",Meta!$D$2:$D$400,C$3,Meta!$A$2:$A$400,"GROUP")</f>
        <v/>
      </c>
      <c r="D17" s="20">
        <f>SUMIFS(Meta!$G$2:$G$400,Meta!$F$2:$F$400,"salary_rd",Meta!$D$2:$D$400,D$3,Meta!$A$2:$A$400,"GROUP")</f>
        <v/>
      </c>
      <c r="E17" s="20">
        <f>SUMIFS(Meta!$G$2:$G$400,Meta!$F$2:$F$400,"salary_rd",Meta!$D$2:$D$400,E$3,Meta!$A$2:$A$400,"GROUP")</f>
        <v/>
      </c>
      <c r="F17" s="20">
        <f>SUMIFS(Meta!$G$2:$G$400,Meta!$F$2:$F$400,"salary_rd",Meta!$D$2:$D$400,F$3,Meta!$A$2:$A$400,"GROUP")</f>
        <v/>
      </c>
      <c r="G17" s="20">
        <f>SUMIFS(Meta!$G$2:$G$400,Meta!$F$2:$F$400,"salary_rd",Meta!$D$2:$D$400,G$3,Meta!$A$2:$A$400,"GROUP")</f>
        <v/>
      </c>
    </row>
    <row r="18">
      <c r="A18" s="18" t="inlineStr">
        <is>
          <t>销售人均（万/年）</t>
        </is>
      </c>
      <c r="C18" s="20">
        <f>SUMIFS(Meta!$G$2:$G$400,Meta!$F$2:$F$400,"salary_sales",Meta!$D$2:$D$400,C$3,Meta!$A$2:$A$400,"GROUP")</f>
        <v/>
      </c>
      <c r="D18" s="20">
        <f>SUMIFS(Meta!$G$2:$G$400,Meta!$F$2:$F$400,"salary_sales",Meta!$D$2:$D$400,D$3,Meta!$A$2:$A$400,"GROUP")</f>
        <v/>
      </c>
      <c r="E18" s="20">
        <f>SUMIFS(Meta!$G$2:$G$400,Meta!$F$2:$F$400,"salary_sales",Meta!$D$2:$D$400,E$3,Meta!$A$2:$A$400,"GROUP")</f>
        <v/>
      </c>
      <c r="F18" s="20">
        <f>SUMIFS(Meta!$G$2:$G$400,Meta!$F$2:$F$400,"salary_sales",Meta!$D$2:$D$400,F$3,Meta!$A$2:$A$400,"GROUP")</f>
        <v/>
      </c>
      <c r="G18" s="20">
        <f>SUMIFS(Meta!$G$2:$G$400,Meta!$F$2:$F$400,"salary_sales",Meta!$D$2:$D$400,G$3,Meta!$A$2:$A$400,"GROUP")</f>
        <v/>
      </c>
    </row>
    <row r="19">
      <c r="A19" s="18" t="inlineStr">
        <is>
          <t>管理人均（万/年）</t>
        </is>
      </c>
      <c r="C19" s="20">
        <f>SUMIFS(Meta!$G$2:$G$400,Meta!$F$2:$F$400,"salary_gna",Meta!$D$2:$D$400,C$3,Meta!$A$2:$A$400,"GROUP")</f>
        <v/>
      </c>
      <c r="D19" s="20">
        <f>SUMIFS(Meta!$G$2:$G$400,Meta!$F$2:$F$400,"salary_gna",Meta!$D$2:$D$400,D$3,Meta!$A$2:$A$400,"GROUP")</f>
        <v/>
      </c>
      <c r="E19" s="20">
        <f>SUMIFS(Meta!$G$2:$G$400,Meta!$F$2:$F$400,"salary_gna",Meta!$D$2:$D$400,E$3,Meta!$A$2:$A$400,"GROUP")</f>
        <v/>
      </c>
      <c r="F19" s="20">
        <f>SUMIFS(Meta!$G$2:$G$400,Meta!$F$2:$F$400,"salary_gna",Meta!$D$2:$D$400,F$3,Meta!$A$2:$A$400,"GROUP")</f>
        <v/>
      </c>
      <c r="G19" s="20">
        <f>SUMIFS(Meta!$G$2:$G$400,Meta!$F$2:$F$400,"salary_gna",Meta!$D$2:$D$400,G$3,Meta!$A$2:$A$400,"GROUP")</f>
        <v/>
      </c>
    </row>
    <row r="20">
      <c r="A20" s="18" t="inlineStr">
        <is>
          <t>单店投入（万）</t>
        </is>
      </c>
      <c r="C20" s="20">
        <f>SUMIFS(Meta!$G$2:$G$400,Meta!$F$2:$F$400,"capex_per_store",Meta!$D$2:$D$400,C$3,Meta!$A$2:$A$400,"GROUP")</f>
        <v/>
      </c>
      <c r="D20" s="20">
        <f>SUMIFS(Meta!$G$2:$G$400,Meta!$F$2:$F$400,"capex_per_store",Meta!$D$2:$D$400,D$3,Meta!$A$2:$A$400,"GROUP")</f>
        <v/>
      </c>
      <c r="E20" s="20">
        <f>SUMIFS(Meta!$G$2:$G$400,Meta!$F$2:$F$400,"capex_per_store",Meta!$D$2:$D$400,E$3,Meta!$A$2:$A$400,"GROUP")</f>
        <v/>
      </c>
      <c r="F20" s="20">
        <f>SUMIFS(Meta!$G$2:$G$400,Meta!$F$2:$F$400,"capex_per_store",Meta!$D$2:$D$400,F$3,Meta!$A$2:$A$400,"GROUP")</f>
        <v/>
      </c>
      <c r="G20" s="20">
        <f>SUMIFS(Meta!$G$2:$G$400,Meta!$F$2:$F$400,"capex_per_store",Meta!$D$2:$D$400,G$3,Meta!$A$2:$A$400,"GROUP")</f>
        <v/>
      </c>
    </row>
    <row r="21">
      <c r="A21" s="18" t="inlineStr">
        <is>
          <t>所得税率</t>
        </is>
      </c>
      <c r="C21" s="21">
        <f>SUMIFS(Meta!$G$2:$G$400,Meta!$F$2:$F$400,"tax_rate",Meta!$D$2:$D$400,C$3,Meta!$A$2:$A$400,"GROUP")</f>
        <v/>
      </c>
      <c r="D21" s="21">
        <f>SUMIFS(Meta!$G$2:$G$400,Meta!$F$2:$F$400,"tax_rate",Meta!$D$2:$D$400,D$3,Meta!$A$2:$A$400,"GROUP")</f>
        <v/>
      </c>
      <c r="E21" s="21">
        <f>SUMIFS(Meta!$G$2:$G$400,Meta!$F$2:$F$400,"tax_rate",Meta!$D$2:$D$400,E$3,Meta!$A$2:$A$400,"GROUP")</f>
        <v/>
      </c>
      <c r="F21" s="21">
        <f>SUMIFS(Meta!$G$2:$G$400,Meta!$F$2:$F$400,"tax_rate",Meta!$D$2:$D$400,F$3,Meta!$A$2:$A$400,"GROUP")</f>
        <v/>
      </c>
      <c r="G21" s="21">
        <f>SUMIFS(Meta!$G$2:$G$400,Meta!$F$2:$F$400,"tax_rate",Meta!$D$2:$D$400,G$3,Meta!$A$2:$A$400,"GROUP")</f>
        <v/>
      </c>
    </row>
    <row r="22">
      <c r="A22" s="18" t="inlineStr">
        <is>
          <t>应收账期（天）</t>
        </is>
      </c>
      <c r="C22" s="22">
        <f>SUMIFS(Meta!$G$2:$G$400,Meta!$F$2:$F$400,"dso_days",Meta!$D$2:$D$400,C$3,Meta!$A$2:$A$400,"GROUP")</f>
        <v/>
      </c>
      <c r="D22" s="22">
        <f>SUMIFS(Meta!$G$2:$G$400,Meta!$F$2:$F$400,"dso_days",Meta!$D$2:$D$400,D$3,Meta!$A$2:$A$400,"GROUP")</f>
        <v/>
      </c>
      <c r="E22" s="22">
        <f>SUMIFS(Meta!$G$2:$G$400,Meta!$F$2:$F$400,"dso_days",Meta!$D$2:$D$400,E$3,Meta!$A$2:$A$400,"GROUP")</f>
        <v/>
      </c>
      <c r="F22" s="22">
        <f>SUMIFS(Meta!$G$2:$G$400,Meta!$F$2:$F$400,"dso_days",Meta!$D$2:$D$400,F$3,Meta!$A$2:$A$400,"GROUP")</f>
        <v/>
      </c>
      <c r="G22" s="22">
        <f>SUMIFS(Meta!$G$2:$G$400,Meta!$F$2:$F$400,"dso_days",Meta!$D$2:$D$400,G$3,Meta!$A$2:$A$400,"GROUP")</f>
        <v/>
      </c>
    </row>
    <row r="23">
      <c r="A23" s="18" t="inlineStr">
        <is>
          <t>应付账期（天）</t>
        </is>
      </c>
      <c r="C23" s="22">
        <f>SUMIFS(Meta!$G$2:$G$400,Meta!$F$2:$F$400,"dpo_days",Meta!$D$2:$D$400,C$3,Meta!$A$2:$A$400,"GROUP")</f>
        <v/>
      </c>
      <c r="D23" s="22">
        <f>SUMIFS(Meta!$G$2:$G$400,Meta!$F$2:$F$400,"dpo_days",Meta!$D$2:$D$400,D$3,Meta!$A$2:$A$400,"GROUP")</f>
        <v/>
      </c>
      <c r="E23" s="22">
        <f>SUMIFS(Meta!$G$2:$G$400,Meta!$F$2:$F$400,"dpo_days",Meta!$D$2:$D$400,E$3,Meta!$A$2:$A$400,"GROUP")</f>
        <v/>
      </c>
      <c r="F23" s="22">
        <f>SUMIFS(Meta!$G$2:$G$400,Meta!$F$2:$F$400,"dpo_days",Meta!$D$2:$D$400,F$3,Meta!$A$2:$A$400,"GROUP")</f>
        <v/>
      </c>
      <c r="G23" s="22">
        <f>SUMIFS(Meta!$G$2:$G$400,Meta!$F$2:$F$400,"dpo_days",Meta!$D$2:$D$400,G$3,Meta!$A$2:$A$400,"GROUP")</f>
        <v/>
      </c>
    </row>
    <row r="24">
      <c r="A24" s="18" t="inlineStr">
        <is>
          <t>储值/递延率</t>
        </is>
      </c>
      <c r="C24" s="21">
        <f>SUMIFS(Meta!$G$2:$G$400,Meta!$F$2:$F$400,"deferred_rate",Meta!$D$2:$D$400,C$3,Meta!$A$2:$A$400,"GROUP")</f>
        <v/>
      </c>
      <c r="D24" s="21">
        <f>SUMIFS(Meta!$G$2:$G$400,Meta!$F$2:$F$400,"deferred_rate",Meta!$D$2:$D$400,D$3,Meta!$A$2:$A$400,"GROUP")</f>
        <v/>
      </c>
      <c r="E24" s="21">
        <f>SUMIFS(Meta!$G$2:$G$400,Meta!$F$2:$F$400,"deferred_rate",Meta!$D$2:$D$400,E$3,Meta!$A$2:$A$400,"GROUP")</f>
        <v/>
      </c>
      <c r="F24" s="21">
        <f>SUMIFS(Meta!$G$2:$G$400,Meta!$F$2:$F$400,"deferred_rate",Meta!$D$2:$D$400,F$3,Meta!$A$2:$A$400,"GROUP")</f>
        <v/>
      </c>
      <c r="G24" s="21">
        <f>SUMIFS(Meta!$G$2:$G$400,Meta!$F$2:$F$400,"deferred_rate",Meta!$D$2:$D$400,G$3,Meta!$A$2:$A$400,"GROUP")</f>
        <v/>
      </c>
    </row>
    <row r="25">
      <c r="A25" s="18" t="inlineStr">
        <is>
          <t>当年注资</t>
        </is>
      </c>
      <c r="C25" s="23">
        <f>SUMIFS(Meta!$G$2:$G$400,Meta!$F$2:$F$400,"equity_inject",Meta!$D$2:$D$400,C$3,Meta!$A$2:$A$400,"GROUP")</f>
        <v/>
      </c>
      <c r="D25" s="23">
        <f>SUMIFS(Meta!$G$2:$G$400,Meta!$F$2:$F$400,"equity_inject",Meta!$D$2:$D$400,D$3,Meta!$A$2:$A$400,"GROUP")</f>
        <v/>
      </c>
      <c r="E25" s="23">
        <f>SUMIFS(Meta!$G$2:$G$400,Meta!$F$2:$F$400,"equity_inject",Meta!$D$2:$D$400,E$3,Meta!$A$2:$A$400,"GROUP")</f>
        <v/>
      </c>
      <c r="F25" s="23">
        <f>SUMIFS(Meta!$G$2:$G$400,Meta!$F$2:$F$400,"equity_inject",Meta!$D$2:$D$400,F$3,Meta!$A$2:$A$400,"GROUP")</f>
        <v/>
      </c>
      <c r="G25" s="23">
        <f>SUMIFS(Meta!$G$2:$G$400,Meta!$F$2:$F$400,"equity_inject",Meta!$D$2:$D$400,G$3,Meta!$A$2:$A$400,"GROUP")</f>
        <v/>
      </c>
    </row>
    <row r="26">
      <c r="A26" s="18" t="inlineStr">
        <is>
          <t>期初实收资本</t>
        </is>
      </c>
      <c r="C26" s="23">
        <f>SUMIFS(Meta!$G$2:$G$400,Meta!$F$2:$F$400,"open_pi",Meta!$D$2:$D$400,C$3,Meta!$A$2:$A$400,"GROUP")</f>
        <v/>
      </c>
      <c r="D26" s="23">
        <f>SUMIFS(Meta!$G$2:$G$400,Meta!$F$2:$F$400,"open_pi",Meta!$D$2:$D$400,D$3,Meta!$A$2:$A$400,"GROUP")</f>
        <v/>
      </c>
      <c r="E26" s="23">
        <f>SUMIFS(Meta!$G$2:$G$400,Meta!$F$2:$F$400,"open_pi",Meta!$D$2:$D$400,E$3,Meta!$A$2:$A$400,"GROUP")</f>
        <v/>
      </c>
      <c r="F26" s="23">
        <f>SUMIFS(Meta!$G$2:$G$400,Meta!$F$2:$F$400,"open_pi",Meta!$D$2:$D$400,F$3,Meta!$A$2:$A$400,"GROUP")</f>
        <v/>
      </c>
      <c r="G26" s="23">
        <f>SUMIFS(Meta!$G$2:$G$400,Meta!$F$2:$F$400,"open_pi",Meta!$D$2:$D$400,G$3,Meta!$A$2:$A$400,"GROUP")</f>
        <v/>
      </c>
    </row>
    <row r="27">
      <c r="A27" s="18" t="inlineStr">
        <is>
          <t>期初未分配利润</t>
        </is>
      </c>
      <c r="C27" s="23">
        <f>SUMIFS(Meta!$G$2:$G$400,Meta!$F$2:$F$400,"open_re",Meta!$D$2:$D$400,C$3,Meta!$A$2:$A$400,"GROUP")</f>
        <v/>
      </c>
      <c r="D27" s="23">
        <f>SUMIFS(Meta!$G$2:$G$400,Meta!$F$2:$F$400,"open_re",Meta!$D$2:$D$400,D$3,Meta!$A$2:$A$400,"GROUP")</f>
        <v/>
      </c>
      <c r="E27" s="23">
        <f>SUMIFS(Meta!$G$2:$G$400,Meta!$F$2:$F$400,"open_re",Meta!$D$2:$D$400,E$3,Meta!$A$2:$A$400,"GROUP")</f>
        <v/>
      </c>
      <c r="F27" s="23">
        <f>SUMIFS(Meta!$G$2:$G$400,Meta!$F$2:$F$400,"open_re",Meta!$D$2:$D$400,F$3,Meta!$A$2:$A$400,"GROUP")</f>
        <v/>
      </c>
      <c r="G27" s="23">
        <f>SUMIFS(Meta!$G$2:$G$400,Meta!$F$2:$F$400,"open_re",Meta!$D$2:$D$400,G$3,Meta!$A$2:$A$400,"GROUP")</f>
        <v/>
      </c>
    </row>
    <row r="28">
      <c r="A28" s="18" t="inlineStr">
        <is>
          <t>期初门店资产原值</t>
        </is>
      </c>
      <c r="C28" s="23">
        <f>SUMIFS(Meta!$G$2:$G$400,Meta!$F$2:$F$400,"open_store_fa",Meta!$D$2:$D$400,C$3,Meta!$A$2:$A$400,"GROUP")</f>
        <v/>
      </c>
      <c r="D28" s="23">
        <f>SUMIFS(Meta!$G$2:$G$400,Meta!$F$2:$F$400,"open_store_fa",Meta!$D$2:$D$400,D$3,Meta!$A$2:$A$400,"GROUP")</f>
        <v/>
      </c>
      <c r="E28" s="23">
        <f>SUMIFS(Meta!$G$2:$G$400,Meta!$F$2:$F$400,"open_store_fa",Meta!$D$2:$D$400,E$3,Meta!$A$2:$A$400,"GROUP")</f>
        <v/>
      </c>
      <c r="F28" s="23">
        <f>SUMIFS(Meta!$G$2:$G$400,Meta!$F$2:$F$400,"open_store_fa",Meta!$D$2:$D$400,F$3,Meta!$A$2:$A$400,"GROUP")</f>
        <v/>
      </c>
      <c r="G28" s="23">
        <f>SUMIFS(Meta!$G$2:$G$400,Meta!$F$2:$F$400,"open_store_fa",Meta!$D$2:$D$400,G$3,Meta!$A$2:$A$400,"GROUP")</f>
        <v/>
      </c>
    </row>
    <row r="29">
      <c r="A29" s="17" t="inlineStr">
        <is>
          <t>── 收入地区拆分 ──</t>
        </is>
      </c>
    </row>
    <row r="30">
      <c r="A30" s="18" t="inlineStr">
        <is>
          <t>一线 占比</t>
        </is>
      </c>
      <c r="C30" s="21">
        <f>SUMIFS(Meta!$G$2:$G$400,Meta!$F$2:$F$400,"region_mix",Meta!$D$2:$D$400,C$3,Meta!$A$2:$A$400,"GROUP",Meta!$C$2:$C$400,"一线")</f>
        <v/>
      </c>
      <c r="D30" s="21">
        <f>SUMIFS(Meta!$G$2:$G$400,Meta!$F$2:$F$400,"region_mix",Meta!$D$2:$D$400,D$3,Meta!$A$2:$A$400,"GROUP",Meta!$C$2:$C$400,"一线")</f>
        <v/>
      </c>
      <c r="E30" s="21">
        <f>SUMIFS(Meta!$G$2:$G$400,Meta!$F$2:$F$400,"region_mix",Meta!$D$2:$D$400,E$3,Meta!$A$2:$A$400,"GROUP",Meta!$C$2:$C$400,"一线")</f>
        <v/>
      </c>
      <c r="F30" s="21">
        <f>SUMIFS(Meta!$G$2:$G$400,Meta!$F$2:$F$400,"region_mix",Meta!$D$2:$D$400,F$3,Meta!$A$2:$A$400,"GROUP",Meta!$C$2:$C$400,"一线")</f>
        <v/>
      </c>
      <c r="G30" s="21">
        <f>SUMIFS(Meta!$G$2:$G$400,Meta!$F$2:$F$400,"region_mix",Meta!$D$2:$D$400,G$3,Meta!$A$2:$A$400,"GROUP",Meta!$C$2:$C$400,"一线")</f>
        <v/>
      </c>
    </row>
    <row r="31">
      <c r="A31" s="18" t="inlineStr">
        <is>
          <t>新一线 占比</t>
        </is>
      </c>
      <c r="C31" s="21">
        <f>SUMIFS(Meta!$G$2:$G$400,Meta!$F$2:$F$400,"region_mix",Meta!$D$2:$D$400,C$3,Meta!$A$2:$A$400,"GROUP",Meta!$C$2:$C$400,"新一线")</f>
        <v/>
      </c>
      <c r="D31" s="21">
        <f>SUMIFS(Meta!$G$2:$G$400,Meta!$F$2:$F$400,"region_mix",Meta!$D$2:$D$400,D$3,Meta!$A$2:$A$400,"GROUP",Meta!$C$2:$C$400,"新一线")</f>
        <v/>
      </c>
      <c r="E31" s="21">
        <f>SUMIFS(Meta!$G$2:$G$400,Meta!$F$2:$F$400,"region_mix",Meta!$D$2:$D$400,E$3,Meta!$A$2:$A$400,"GROUP",Meta!$C$2:$C$400,"新一线")</f>
        <v/>
      </c>
      <c r="F31" s="21">
        <f>SUMIFS(Meta!$G$2:$G$400,Meta!$F$2:$F$400,"region_mix",Meta!$D$2:$D$400,F$3,Meta!$A$2:$A$400,"GROUP",Meta!$C$2:$C$400,"新一线")</f>
        <v/>
      </c>
      <c r="G31" s="21">
        <f>SUMIFS(Meta!$G$2:$G$400,Meta!$F$2:$F$400,"region_mix",Meta!$D$2:$D$400,G$3,Meta!$A$2:$A$400,"GROUP",Meta!$C$2:$C$400,"新一线")</f>
        <v/>
      </c>
    </row>
    <row r="32">
      <c r="A32" s="18" t="inlineStr">
        <is>
          <t>二线及以下 占比</t>
        </is>
      </c>
      <c r="C32" s="21">
        <f>SUMIFS(Meta!$G$2:$G$400,Meta!$F$2:$F$400,"region_mix",Meta!$D$2:$D$400,C$3,Meta!$A$2:$A$400,"GROUP",Meta!$C$2:$C$400,"二线及以下")</f>
        <v/>
      </c>
      <c r="D32" s="21">
        <f>SUMIFS(Meta!$G$2:$G$400,Meta!$F$2:$F$400,"region_mix",Meta!$D$2:$D$400,D$3,Meta!$A$2:$A$400,"GROUP",Meta!$C$2:$C$400,"二线及以下")</f>
        <v/>
      </c>
      <c r="E32" s="21">
        <f>SUMIFS(Meta!$G$2:$G$400,Meta!$F$2:$F$400,"region_mix",Meta!$D$2:$D$400,E$3,Meta!$A$2:$A$400,"GROUP",Meta!$C$2:$C$400,"二线及以下")</f>
        <v/>
      </c>
      <c r="F32" s="21">
        <f>SUMIFS(Meta!$G$2:$G$400,Meta!$F$2:$F$400,"region_mix",Meta!$D$2:$D$400,F$3,Meta!$A$2:$A$400,"GROUP",Meta!$C$2:$C$400,"二线及以下")</f>
        <v/>
      </c>
      <c r="G32" s="21">
        <f>SUMIFS(Meta!$G$2:$G$400,Meta!$F$2:$F$400,"region_mix",Meta!$D$2:$D$400,G$3,Meta!$A$2:$A$400,"GROUP",Meta!$C$2:$C$400,"二线及以下")</f>
        <v/>
      </c>
    </row>
    <row r="33">
      <c r="A33" s="18" t="inlineStr">
        <is>
          <t>海外 占比</t>
        </is>
      </c>
      <c r="C33" s="21">
        <f>SUMIFS(Meta!$G$2:$G$400,Meta!$F$2:$F$400,"region_mix",Meta!$D$2:$D$400,C$3,Meta!$A$2:$A$400,"GROUP",Meta!$C$2:$C$400,"海外")</f>
        <v/>
      </c>
      <c r="D33" s="21">
        <f>SUMIFS(Meta!$G$2:$G$400,Meta!$F$2:$F$400,"region_mix",Meta!$D$2:$D$400,D$3,Meta!$A$2:$A$400,"GROUP",Meta!$C$2:$C$400,"海外")</f>
        <v/>
      </c>
      <c r="E33" s="21">
        <f>SUMIFS(Meta!$G$2:$G$400,Meta!$F$2:$F$400,"region_mix",Meta!$D$2:$D$400,E$3,Meta!$A$2:$A$400,"GROUP",Meta!$C$2:$C$400,"海外")</f>
        <v/>
      </c>
      <c r="F33" s="21">
        <f>SUMIFS(Meta!$G$2:$G$400,Meta!$F$2:$F$400,"region_mix",Meta!$D$2:$D$400,F$3,Meta!$A$2:$A$400,"GROUP",Meta!$C$2:$C$400,"海外")</f>
        <v/>
      </c>
      <c r="G33" s="21">
        <f>SUMIFS(Meta!$G$2:$G$400,Meta!$F$2:$F$400,"region_mix",Meta!$D$2:$D$400,G$3,Meta!$A$2:$A$400,"GROUP",Meta!$C$2:$C$400,"海外")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2" customWidth="1" min="8" max="8"/>
  </cols>
  <sheetData>
    <row r="1">
      <c r="A1" s="14" t="inlineStr">
        <is>
          <t>门店资产 · 批次折旧引擎</t>
        </is>
      </c>
    </row>
    <row r="2">
      <c r="A2" s="2" t="inlineStr">
        <is>
          <t>净增门店×单店投入，5 年直线 | 连锁扩张的资产负债表灵魂</t>
        </is>
      </c>
    </row>
    <row r="3">
      <c r="A3" s="5" t="inlineStr">
        <is>
          <t>科目（万元）</t>
        </is>
      </c>
      <c r="B3" s="5" t="inlineStr">
        <is>
          <t>备注</t>
        </is>
      </c>
      <c r="C3" s="15" t="n">
        <v>2023</v>
      </c>
      <c r="D3" s="15" t="n">
        <v>2024</v>
      </c>
      <c r="E3" s="15" t="n">
        <v>2025</v>
      </c>
      <c r="F3" s="16" t="n">
        <v>2026</v>
      </c>
      <c r="G3" s="16" t="n">
        <v>2027</v>
      </c>
    </row>
    <row r="4">
      <c r="A4" s="17" t="inlineStr">
        <is>
          <t>── 批次明细（B=购置年，H=批次原值[取自Meta]）──</t>
        </is>
      </c>
    </row>
    <row r="5">
      <c r="A5" s="4" t="inlineStr">
        <is>
          <t>2023批</t>
        </is>
      </c>
      <c r="B5" s="24" t="n">
        <v>2023</v>
      </c>
      <c r="C5" s="8">
        <f>IF(AND(C$3&gt;=$B5,C$3&lt;$B5+5),$H5/5,0)</f>
        <v/>
      </c>
      <c r="D5" s="8">
        <f>IF(AND(D$3&gt;=$B5,D$3&lt;$B5+5),$H5/5,0)</f>
        <v/>
      </c>
      <c r="E5" s="8">
        <f>IF(AND(E$3&gt;=$B5,E$3&lt;$B5+5),$H5/5,0)</f>
        <v/>
      </c>
      <c r="F5" s="8">
        <f>IF(AND(F$3&gt;=$B5,F$3&lt;$B5+5),$H5/5,0)</f>
        <v/>
      </c>
      <c r="G5" s="8">
        <f>IF(AND(G$3&gt;=$B5,G$3&lt;$B5+5),$H5/5,0)</f>
        <v/>
      </c>
      <c r="H5" s="23">
        <f>SUMIFS(Meta!$G$2:$G$400,Meta!$F$2:$F$400,"open_store_fa",Meta!$D$2:$D$400,C$3,Meta!$A$2:$A$400,"GROUP")+(SUMIFS(Meta!$G$2:$G$400,Meta!$F$2:$F$400,"stores",Meta!$D$2:$D$400,C$3,Meta!$A$2:$A$400,"GROUP")-(SUMIFS(Meta!$G$2:$G$400,Meta!$F$2:$F$400,"open_store_fa",Meta!$D$2:$D$400,C$3,Meta!$A$2:$A$400,"GROUP")/SUMIFS(Meta!$G$2:$G$400,Meta!$F$2:$F$400,"capex_per_store",Meta!$D$2:$D$400,C$3,Meta!$A$2:$A$400,"GROUP")))*SUMIFS(Meta!$G$2:$G$400,Meta!$F$2:$F$400,"capex_per_store",Meta!$D$2:$D$400,C$3,Meta!$A$2:$A$400,"GROUP")</f>
        <v/>
      </c>
    </row>
    <row r="6">
      <c r="A6" s="4" t="inlineStr">
        <is>
          <t>2024批</t>
        </is>
      </c>
      <c r="B6" s="24" t="n">
        <v>2024</v>
      </c>
      <c r="C6" s="8">
        <f>IF(AND(C$3&gt;=$B6,C$3&lt;$B6+5),$H6/5,0)</f>
        <v/>
      </c>
      <c r="D6" s="8">
        <f>IF(AND(D$3&gt;=$B6,D$3&lt;$B6+5),$H6/5,0)</f>
        <v/>
      </c>
      <c r="E6" s="8">
        <f>IF(AND(E$3&gt;=$B6,E$3&lt;$B6+5),$H6/5,0)</f>
        <v/>
      </c>
      <c r="F6" s="8">
        <f>IF(AND(F$3&gt;=$B6,F$3&lt;$B6+5),$H6/5,0)</f>
        <v/>
      </c>
      <c r="G6" s="8">
        <f>IF(AND(G$3&gt;=$B6,G$3&lt;$B6+5),$H6/5,0)</f>
        <v/>
      </c>
      <c r="H6" s="23">
        <f>(SUMIFS(Meta!$G$2:$G$400,Meta!$F$2:$F$400,"stores",Meta!$D$2:$D$400,D$3,Meta!$A$2:$A$400,"GROUP")-SUMIFS(Meta!$G$2:$G$400,Meta!$F$2:$F$400,"stores",Meta!$D$2:$D$400,C$3,Meta!$A$2:$A$400,"GROUP"))*SUMIFS(Meta!$G$2:$G$400,Meta!$F$2:$F$400,"capex_per_store",Meta!$D$2:$D$400,D$3,Meta!$A$2:$A$400,"GROUP")</f>
        <v/>
      </c>
    </row>
    <row r="7">
      <c r="A7" s="4" t="inlineStr">
        <is>
          <t>2025批</t>
        </is>
      </c>
      <c r="B7" s="24" t="n">
        <v>2025</v>
      </c>
      <c r="C7" s="8">
        <f>IF(AND(C$3&gt;=$B7,C$3&lt;$B7+5),$H7/5,0)</f>
        <v/>
      </c>
      <c r="D7" s="8">
        <f>IF(AND(D$3&gt;=$B7,D$3&lt;$B7+5),$H7/5,0)</f>
        <v/>
      </c>
      <c r="E7" s="8">
        <f>IF(AND(E$3&gt;=$B7,E$3&lt;$B7+5),$H7/5,0)</f>
        <v/>
      </c>
      <c r="F7" s="8">
        <f>IF(AND(F$3&gt;=$B7,F$3&lt;$B7+5),$H7/5,0)</f>
        <v/>
      </c>
      <c r="G7" s="8">
        <f>IF(AND(G$3&gt;=$B7,G$3&lt;$B7+5),$H7/5,0)</f>
        <v/>
      </c>
      <c r="H7" s="23">
        <f>(SUMIFS(Meta!$G$2:$G$400,Meta!$F$2:$F$400,"stores",Meta!$D$2:$D$400,E$3,Meta!$A$2:$A$400,"GROUP")-SUMIFS(Meta!$G$2:$G$400,Meta!$F$2:$F$400,"stores",Meta!$D$2:$D$400,D$3,Meta!$A$2:$A$400,"GROUP"))*SUMIFS(Meta!$G$2:$G$400,Meta!$F$2:$F$400,"capex_per_store",Meta!$D$2:$D$400,E$3,Meta!$A$2:$A$400,"GROUP")</f>
        <v/>
      </c>
    </row>
    <row r="8">
      <c r="A8" s="4" t="inlineStr">
        <is>
          <t>2026批</t>
        </is>
      </c>
      <c r="B8" s="24" t="n">
        <v>2026</v>
      </c>
      <c r="C8" s="8">
        <f>IF(AND(C$3&gt;=$B8,C$3&lt;$B8+5),$H8/5,0)</f>
        <v/>
      </c>
      <c r="D8" s="8">
        <f>IF(AND(D$3&gt;=$B8,D$3&lt;$B8+5),$H8/5,0)</f>
        <v/>
      </c>
      <c r="E8" s="8">
        <f>IF(AND(E$3&gt;=$B8,E$3&lt;$B8+5),$H8/5,0)</f>
        <v/>
      </c>
      <c r="F8" s="8">
        <f>IF(AND(F$3&gt;=$B8,F$3&lt;$B8+5),$H8/5,0)</f>
        <v/>
      </c>
      <c r="G8" s="8">
        <f>IF(AND(G$3&gt;=$B8,G$3&lt;$B8+5),$H8/5,0)</f>
        <v/>
      </c>
      <c r="H8" s="23">
        <f>(SUMIFS(Meta!$G$2:$G$400,Meta!$F$2:$F$400,"stores",Meta!$D$2:$D$400,F$3,Meta!$A$2:$A$400,"GROUP")-SUMIFS(Meta!$G$2:$G$400,Meta!$F$2:$F$400,"stores",Meta!$D$2:$D$400,E$3,Meta!$A$2:$A$400,"GROUP"))*SUMIFS(Meta!$G$2:$G$400,Meta!$F$2:$F$400,"capex_per_store",Meta!$D$2:$D$400,F$3,Meta!$A$2:$A$400,"GROUP")</f>
        <v/>
      </c>
    </row>
    <row r="9">
      <c r="A9" s="4" t="inlineStr">
        <is>
          <t>2027批</t>
        </is>
      </c>
      <c r="B9" s="24" t="n">
        <v>2027</v>
      </c>
      <c r="C9" s="8">
        <f>IF(AND(C$3&gt;=$B9,C$3&lt;$B9+5),$H9/5,0)</f>
        <v/>
      </c>
      <c r="D9" s="8">
        <f>IF(AND(D$3&gt;=$B9,D$3&lt;$B9+5),$H9/5,0)</f>
        <v/>
      </c>
      <c r="E9" s="8">
        <f>IF(AND(E$3&gt;=$B9,E$3&lt;$B9+5),$H9/5,0)</f>
        <v/>
      </c>
      <c r="F9" s="8">
        <f>IF(AND(F$3&gt;=$B9,F$3&lt;$B9+5),$H9/5,0)</f>
        <v/>
      </c>
      <c r="G9" s="8">
        <f>IF(AND(G$3&gt;=$B9,G$3&lt;$B9+5),$H9/5,0)</f>
        <v/>
      </c>
      <c r="H9" s="23">
        <f>(SUMIFS(Meta!$G$2:$G$400,Meta!$F$2:$F$400,"stores",Meta!$D$2:$D$400,G$3,Meta!$A$2:$A$400,"GROUP")-SUMIFS(Meta!$G$2:$G$400,Meta!$F$2:$F$400,"stores",Meta!$D$2:$D$400,F$3,Meta!$A$2:$A$400,"GROUP"))*SUMIFS(Meta!$G$2:$G$400,Meta!$F$2:$F$400,"capex_per_store",Meta!$D$2:$D$400,G$3,Meta!$A$2:$A$400,"GROUP")</f>
        <v/>
      </c>
    </row>
    <row r="11">
      <c r="A11" s="5" t="inlineStr">
        <is>
          <t>当年折旧 → COGS</t>
        </is>
      </c>
      <c r="B11" s="2" t="inlineStr">
        <is>
          <t>门店折旧计入营业成本</t>
        </is>
      </c>
      <c r="C11" s="25">
        <f>SUM(C5:C9)</f>
        <v/>
      </c>
      <c r="D11" s="25">
        <f>SUM(D5:D9)</f>
        <v/>
      </c>
      <c r="E11" s="25">
        <f>SUM(E5:E9)</f>
        <v/>
      </c>
      <c r="F11" s="25">
        <f>SUM(F5:F9)</f>
        <v/>
      </c>
      <c r="G11" s="25">
        <f>SUM(G5:G9)</f>
        <v/>
      </c>
    </row>
    <row r="12">
      <c r="A12" s="5" t="inlineStr">
        <is>
          <t>门店资产净值 → BS</t>
        </is>
      </c>
      <c r="C12" s="25">
        <f>SUMIFS($H$5:$H$9,$B$5:$B$9,"&lt;="&amp;C$3)-SUM($C$11:C11)</f>
        <v/>
      </c>
      <c r="D12" s="25">
        <f>SUMIFS($H$5:$H$9,$B$5:$B$9,"&lt;="&amp;D$3)-SUM($C$11:D11)</f>
        <v/>
      </c>
      <c r="E12" s="25">
        <f>SUMIFS($H$5:$H$9,$B$5:$B$9,"&lt;="&amp;E$3)-SUM($C$11:E11)</f>
        <v/>
      </c>
      <c r="F12" s="25">
        <f>SUMIFS($H$5:$H$9,$B$5:$B$9,"&lt;="&amp;F$3)-SUM($C$11:F11)</f>
        <v/>
      </c>
      <c r="G12" s="25">
        <f>SUMIFS($H$5:$H$9,$B$5:$B$9,"&lt;="&amp;G$3)-SUM($C$11:G11)</f>
        <v/>
      </c>
    </row>
    <row r="13">
      <c r="A13" s="5" t="inlineStr">
        <is>
          <t>当年门店 capex → CF</t>
        </is>
      </c>
      <c r="B13" s="2" t="inlineStr">
        <is>
          <t>2023 扣期初存量=净增</t>
        </is>
      </c>
      <c r="C13" s="25">
        <f>$H5-SUMIFS(Meta!$G$2:$G$400,Meta!$F$2:$F$400,"open_store_fa",Meta!$D$2:$D$400,C$3,Meta!$A$2:$A$400,"GROUP")</f>
        <v/>
      </c>
      <c r="D13" s="25">
        <f>$H6</f>
        <v/>
      </c>
      <c r="E13" s="25">
        <f>$H7</f>
        <v/>
      </c>
      <c r="F13" s="25">
        <f>$H8</f>
        <v/>
      </c>
      <c r="G13" s="25">
        <f>$H9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G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4" t="inlineStr">
        <is>
          <t>山雾咖啡 · 利润表</t>
        </is>
      </c>
    </row>
    <row r="2">
      <c r="A2" s="2" t="inlineStr">
        <is>
          <t>量×价：门店×杯量×客单 | 万元</t>
        </is>
      </c>
    </row>
    <row r="3">
      <c r="A3" s="5" t="inlineStr">
        <is>
          <t>科目（万元）</t>
        </is>
      </c>
      <c r="B3" s="5" t="inlineStr">
        <is>
          <t>备注</t>
        </is>
      </c>
      <c r="C3" s="15" t="n">
        <v>2023</v>
      </c>
      <c r="D3" s="15" t="n">
        <v>2024</v>
      </c>
      <c r="E3" s="15" t="n">
        <v>2025</v>
      </c>
      <c r="F3" s="16" t="n">
        <v>2026</v>
      </c>
      <c r="G3" s="16" t="n">
        <v>2027</v>
      </c>
    </row>
    <row r="4">
      <c r="A4" s="4" t="inlineStr">
        <is>
          <t xml:space="preserve">    收入 · 现制饮品</t>
        </is>
      </c>
      <c r="B4" s="2" t="inlineStr">
        <is>
          <t>门店×杯量×客单×365</t>
        </is>
      </c>
      <c r="C4" s="26">
        <f>Assumptions!C5*Assumptions!C6*Assumptions!C7*365/10000</f>
        <v/>
      </c>
      <c r="D4" s="26">
        <f>Assumptions!D5*Assumptions!D6*Assumptions!D7*365/10000</f>
        <v/>
      </c>
      <c r="E4" s="26">
        <f>Assumptions!E5*Assumptions!E6*Assumptions!E7*365/10000</f>
        <v/>
      </c>
      <c r="F4" s="26">
        <f>Assumptions!F5*Assumptions!F6*Assumptions!F7*365/10000</f>
        <v/>
      </c>
      <c r="G4" s="26">
        <f>Assumptions!G5*Assumptions!G6*Assumptions!G7*365/10000</f>
        <v/>
      </c>
    </row>
    <row r="5">
      <c r="A5" s="4" t="inlineStr">
        <is>
          <t xml:space="preserve">    收入 · 零售产品</t>
        </is>
      </c>
      <c r="C5" s="26">
        <f>IS!C4*Assumptions!C8</f>
        <v/>
      </c>
      <c r="D5" s="26">
        <f>IS!D4*Assumptions!D8</f>
        <v/>
      </c>
      <c r="E5" s="26">
        <f>IS!E4*Assumptions!E8</f>
        <v/>
      </c>
      <c r="F5" s="26">
        <f>IS!F4*Assumptions!F8</f>
        <v/>
      </c>
      <c r="G5" s="26">
        <f>IS!G4*Assumptions!G8</f>
        <v/>
      </c>
    </row>
    <row r="6">
      <c r="A6" s="5" t="inlineStr">
        <is>
          <t xml:space="preserve">    营业收入合计</t>
        </is>
      </c>
      <c r="C6" s="25">
        <f>IS!C4+IS!C5</f>
        <v/>
      </c>
      <c r="D6" s="25">
        <f>IS!D4+IS!D5</f>
        <v/>
      </c>
      <c r="E6" s="25">
        <f>IS!E4+IS!E5</f>
        <v/>
      </c>
      <c r="F6" s="25">
        <f>IS!F4+IS!F5</f>
        <v/>
      </c>
      <c r="G6" s="25">
        <f>IS!G4+IS!G5</f>
        <v/>
      </c>
    </row>
    <row r="7">
      <c r="A7" s="4" t="inlineStr">
        <is>
          <t xml:space="preserve">    成本 · 原料</t>
        </is>
      </c>
      <c r="C7" s="26">
        <f>IS!C6*Assumptions!C10</f>
        <v/>
      </c>
      <c r="D7" s="26">
        <f>IS!D6*Assumptions!D10</f>
        <v/>
      </c>
      <c r="E7" s="26">
        <f>IS!E6*Assumptions!E10</f>
        <v/>
      </c>
      <c r="F7" s="26">
        <f>IS!F6*Assumptions!F10</f>
        <v/>
      </c>
      <c r="G7" s="26">
        <f>IS!G6*Assumptions!G10</f>
        <v/>
      </c>
    </row>
    <row r="8">
      <c r="A8" s="4" t="inlineStr">
        <is>
          <t xml:space="preserve">    成本 · 门店运营</t>
        </is>
      </c>
      <c r="B8" s="2" t="inlineStr">
        <is>
          <t>租金+人工+水电</t>
        </is>
      </c>
      <c r="C8" s="26">
        <f>Assumptions!C5*Assumptions!C11*12</f>
        <v/>
      </c>
      <c r="D8" s="26">
        <f>Assumptions!D5*Assumptions!D11*12</f>
        <v/>
      </c>
      <c r="E8" s="26">
        <f>Assumptions!E5*Assumptions!E11*12</f>
        <v/>
      </c>
      <c r="F8" s="26">
        <f>Assumptions!F5*Assumptions!F11*12</f>
        <v/>
      </c>
      <c r="G8" s="26">
        <f>Assumptions!G5*Assumptions!G11*12</f>
        <v/>
      </c>
    </row>
    <row r="9">
      <c r="A9" s="4" t="inlineStr">
        <is>
          <t xml:space="preserve">    成本 · 门店折旧</t>
        </is>
      </c>
      <c r="C9" s="26">
        <f>StoreCapex!C11</f>
        <v/>
      </c>
      <c r="D9" s="26">
        <f>StoreCapex!D11</f>
        <v/>
      </c>
      <c r="E9" s="26">
        <f>StoreCapex!E11</f>
        <v/>
      </c>
      <c r="F9" s="26">
        <f>StoreCapex!F11</f>
        <v/>
      </c>
      <c r="G9" s="26">
        <f>StoreCapex!G11</f>
        <v/>
      </c>
    </row>
    <row r="10">
      <c r="A10" s="5" t="inlineStr">
        <is>
          <t xml:space="preserve">    营业成本合计</t>
        </is>
      </c>
      <c r="C10" s="25">
        <f>SUM(IS!C7,IS!C8,IS!C9)</f>
        <v/>
      </c>
      <c r="D10" s="25">
        <f>SUM(IS!D7,IS!D8,IS!D9)</f>
        <v/>
      </c>
      <c r="E10" s="25">
        <f>SUM(IS!E7,IS!E8,IS!E9)</f>
        <v/>
      </c>
      <c r="F10" s="25">
        <f>SUM(IS!F7,IS!F8,IS!F9)</f>
        <v/>
      </c>
      <c r="G10" s="25">
        <f>SUM(IS!G7,IS!G8,IS!G9)</f>
        <v/>
      </c>
    </row>
    <row r="11">
      <c r="A11" s="5" t="inlineStr">
        <is>
          <t xml:space="preserve">    毛利润</t>
        </is>
      </c>
      <c r="C11" s="25">
        <f>IS!C6-IS!C10</f>
        <v/>
      </c>
      <c r="D11" s="25">
        <f>IS!D6-IS!D10</f>
        <v/>
      </c>
      <c r="E11" s="25">
        <f>IS!E6-IS!E10</f>
        <v/>
      </c>
      <c r="F11" s="25">
        <f>IS!F6-IS!F10</f>
        <v/>
      </c>
      <c r="G11" s="25">
        <f>IS!G6-IS!G10</f>
        <v/>
      </c>
    </row>
    <row r="12">
      <c r="A12" s="4" t="inlineStr">
        <is>
          <t xml:space="preserve">    营销费用</t>
        </is>
      </c>
      <c r="B12" s="2" t="inlineStr">
        <is>
          <t>补贴退坡</t>
        </is>
      </c>
      <c r="C12" s="26">
        <f>IS!C6*Assumptions!C12</f>
        <v/>
      </c>
      <c r="D12" s="26">
        <f>IS!D6*Assumptions!D12</f>
        <v/>
      </c>
      <c r="E12" s="26">
        <f>IS!E6*Assumptions!E12</f>
        <v/>
      </c>
      <c r="F12" s="26">
        <f>IS!F6*Assumptions!F12</f>
        <v/>
      </c>
      <c r="G12" s="26">
        <f>IS!G6*Assumptions!G12</f>
        <v/>
      </c>
    </row>
    <row r="13">
      <c r="A13" s="4" t="inlineStr">
        <is>
          <t xml:space="preserve">    研发费用（数字化）</t>
        </is>
      </c>
      <c r="C13" s="26">
        <f>Assumptions!C14*Assumptions!C17</f>
        <v/>
      </c>
      <c r="D13" s="26">
        <f>Assumptions!D14*Assumptions!D17</f>
        <v/>
      </c>
      <c r="E13" s="26">
        <f>Assumptions!E14*Assumptions!E17</f>
        <v/>
      </c>
      <c r="F13" s="26">
        <f>Assumptions!F14*Assumptions!F17</f>
        <v/>
      </c>
      <c r="G13" s="26">
        <f>Assumptions!G14*Assumptions!G17</f>
        <v/>
      </c>
    </row>
    <row r="14">
      <c r="A14" s="4" t="inlineStr">
        <is>
          <t xml:space="preserve">    销售费用（总部）</t>
        </is>
      </c>
      <c r="C14" s="26">
        <f>Assumptions!C15*Assumptions!C18</f>
        <v/>
      </c>
      <c r="D14" s="26">
        <f>Assumptions!D15*Assumptions!D18</f>
        <v/>
      </c>
      <c r="E14" s="26">
        <f>Assumptions!E15*Assumptions!E18</f>
        <v/>
      </c>
      <c r="F14" s="26">
        <f>Assumptions!F15*Assumptions!F18</f>
        <v/>
      </c>
      <c r="G14" s="26">
        <f>Assumptions!G15*Assumptions!G18</f>
        <v/>
      </c>
    </row>
    <row r="15">
      <c r="A15" s="4" t="inlineStr">
        <is>
          <t xml:space="preserve">    管理费用</t>
        </is>
      </c>
      <c r="C15" s="26">
        <f>Assumptions!C16*Assumptions!C19</f>
        <v/>
      </c>
      <c r="D15" s="26">
        <f>Assumptions!D16*Assumptions!D19</f>
        <v/>
      </c>
      <c r="E15" s="26">
        <f>Assumptions!E16*Assumptions!E19</f>
        <v/>
      </c>
      <c r="F15" s="26">
        <f>Assumptions!F16*Assumptions!F19</f>
        <v/>
      </c>
      <c r="G15" s="26">
        <f>Assumptions!G16*Assumptions!G19</f>
        <v/>
      </c>
    </row>
    <row r="16">
      <c r="A16" s="5" t="inlineStr">
        <is>
          <t xml:space="preserve">    EBIT</t>
        </is>
      </c>
      <c r="C16" s="25">
        <f>IS!C11-IS!C12-IS!C13-IS!C14-IS!C15</f>
        <v/>
      </c>
      <c r="D16" s="25">
        <f>IS!D11-IS!D12-IS!D13-IS!D14-IS!D15</f>
        <v/>
      </c>
      <c r="E16" s="25">
        <f>IS!E11-IS!E12-IS!E13-IS!E14-IS!E15</f>
        <v/>
      </c>
      <c r="F16" s="25">
        <f>IS!F11-IS!F12-IS!F13-IS!F14-IS!F15</f>
        <v/>
      </c>
      <c r="G16" s="25">
        <f>IS!G11-IS!G12-IS!G13-IS!G14-IS!G15</f>
        <v/>
      </c>
    </row>
    <row r="17">
      <c r="A17" s="4" t="inlineStr">
        <is>
          <t xml:space="preserve">    所得税</t>
        </is>
      </c>
      <c r="C17" s="26">
        <f>MAX(0,IS!C16)*Assumptions!C21</f>
        <v/>
      </c>
      <c r="D17" s="26">
        <f>MAX(0,IS!D16)*Assumptions!D21</f>
        <v/>
      </c>
      <c r="E17" s="26">
        <f>MAX(0,IS!E16)*Assumptions!E21</f>
        <v/>
      </c>
      <c r="F17" s="26">
        <f>MAX(0,IS!F16)*Assumptions!F21</f>
        <v/>
      </c>
      <c r="G17" s="26">
        <f>MAX(0,IS!G16)*Assumptions!G21</f>
        <v/>
      </c>
    </row>
    <row r="18">
      <c r="A18" s="27" t="inlineStr">
        <is>
          <t xml:space="preserve">    净利润</t>
        </is>
      </c>
      <c r="C18" s="28">
        <f>IS!C16-IS!C17</f>
        <v/>
      </c>
      <c r="D18" s="28">
        <f>IS!D16-IS!D17</f>
        <v/>
      </c>
      <c r="E18" s="28">
        <f>IS!E16-IS!E17</f>
        <v/>
      </c>
      <c r="F18" s="28">
        <f>IS!F16-IS!F17</f>
        <v/>
      </c>
      <c r="G18" s="28">
        <f>IS!G16-IS!G17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G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4" t="inlineStr">
        <is>
          <t>山雾咖啡 · 资产负债表</t>
        </is>
      </c>
    </row>
    <row r="2">
      <c r="A2" s="2" t="inlineStr">
        <is>
          <t>现金=倒挤项 → 结构性平衡 | 万元</t>
        </is>
      </c>
    </row>
    <row r="3">
      <c r="A3" s="5" t="inlineStr">
        <is>
          <t>科目（万元）</t>
        </is>
      </c>
      <c r="B3" s="5" t="inlineStr">
        <is>
          <t>备注</t>
        </is>
      </c>
      <c r="C3" s="15" t="n">
        <v>2023</v>
      </c>
      <c r="D3" s="15" t="n">
        <v>2024</v>
      </c>
      <c r="E3" s="15" t="n">
        <v>2025</v>
      </c>
      <c r="F3" s="16" t="n">
        <v>2026</v>
      </c>
      <c r="G3" s="16" t="n">
        <v>2027</v>
      </c>
    </row>
    <row r="4">
      <c r="A4" s="4" t="inlineStr">
        <is>
          <t xml:space="preserve">    应收账款</t>
        </is>
      </c>
      <c r="B4" s="2" t="inlineStr">
        <is>
          <t>C端占比高，账期短</t>
        </is>
      </c>
      <c r="C4" s="26">
        <f>IS!C6*Assumptions!C22/365</f>
        <v/>
      </c>
      <c r="D4" s="26">
        <f>IS!D6*Assumptions!D22/365</f>
        <v/>
      </c>
      <c r="E4" s="26">
        <f>IS!E6*Assumptions!E22/365</f>
        <v/>
      </c>
      <c r="F4" s="26">
        <f>IS!F6*Assumptions!F22/365</f>
        <v/>
      </c>
      <c r="G4" s="26">
        <f>IS!G6*Assumptions!G22/365</f>
        <v/>
      </c>
    </row>
    <row r="5">
      <c r="A5" s="4" t="inlineStr">
        <is>
          <t xml:space="preserve">    门店资产净值</t>
        </is>
      </c>
      <c r="C5" s="26">
        <f>StoreCapex!C12</f>
        <v/>
      </c>
      <c r="D5" s="26">
        <f>StoreCapex!D12</f>
        <v/>
      </c>
      <c r="E5" s="26">
        <f>StoreCapex!E12</f>
        <v/>
      </c>
      <c r="F5" s="26">
        <f>StoreCapex!F12</f>
        <v/>
      </c>
      <c r="G5" s="26">
        <f>StoreCapex!G12</f>
        <v/>
      </c>
    </row>
    <row r="6">
      <c r="A6" s="5" t="inlineStr">
        <is>
          <t>非现金资产合计</t>
        </is>
      </c>
      <c r="C6" s="25">
        <f>BS!C4+BS!C5</f>
        <v/>
      </c>
      <c r="D6" s="25">
        <f>BS!D4+BS!D5</f>
        <v/>
      </c>
      <c r="E6" s="25">
        <f>BS!E4+BS!E5</f>
        <v/>
      </c>
      <c r="F6" s="25">
        <f>BS!F4+BS!F5</f>
        <v/>
      </c>
      <c r="G6" s="25">
        <f>BS!G4+BS!G5</f>
        <v/>
      </c>
    </row>
    <row r="7">
      <c r="A7" s="4" t="inlineStr">
        <is>
          <t xml:space="preserve">    应付账款</t>
        </is>
      </c>
      <c r="C7" s="26">
        <f>(IS!C10+IS!C12+IS!C13+IS!C14+IS!C15-StoreCapex!C11)*Assumptions!C23/365</f>
        <v/>
      </c>
      <c r="D7" s="26">
        <f>(IS!D10+IS!D12+IS!D13+IS!D14+IS!D15-StoreCapex!D11)*Assumptions!D23/365</f>
        <v/>
      </c>
      <c r="E7" s="26">
        <f>(IS!E10+IS!E12+IS!E13+IS!E14+IS!E15-StoreCapex!E11)*Assumptions!E23/365</f>
        <v/>
      </c>
      <c r="F7" s="26">
        <f>(IS!F10+IS!F12+IS!F13+IS!F14+IS!F15-StoreCapex!F11)*Assumptions!F23/365</f>
        <v/>
      </c>
      <c r="G7" s="26">
        <f>(IS!G10+IS!G12+IS!G13+IS!G14+IS!G15-StoreCapex!G11)*Assumptions!G23/365</f>
        <v/>
      </c>
    </row>
    <row r="8">
      <c r="A8" s="4" t="inlineStr">
        <is>
          <t xml:space="preserve">    递延收益（储值卡）</t>
        </is>
      </c>
      <c r="C8" s="26">
        <f>IS!C6*Assumptions!C24</f>
        <v/>
      </c>
      <c r="D8" s="26">
        <f>IS!D6*Assumptions!D24</f>
        <v/>
      </c>
      <c r="E8" s="26">
        <f>IS!E6*Assumptions!E24</f>
        <v/>
      </c>
      <c r="F8" s="26">
        <f>IS!F6*Assumptions!F24</f>
        <v/>
      </c>
      <c r="G8" s="26">
        <f>IS!G6*Assumptions!G24</f>
        <v/>
      </c>
    </row>
    <row r="9">
      <c r="A9" s="5" t="inlineStr">
        <is>
          <t>负债合计</t>
        </is>
      </c>
      <c r="C9" s="25">
        <f>BS!C7+BS!C8</f>
        <v/>
      </c>
      <c r="D9" s="25">
        <f>BS!D7+BS!D8</f>
        <v/>
      </c>
      <c r="E9" s="25">
        <f>BS!E7+BS!E8</f>
        <v/>
      </c>
      <c r="F9" s="25">
        <f>BS!F7+BS!F8</f>
        <v/>
      </c>
      <c r="G9" s="25">
        <f>BS!G7+BS!G8</f>
        <v/>
      </c>
    </row>
    <row r="10">
      <c r="A10" s="4" t="inlineStr">
        <is>
          <t xml:space="preserve">    实收资本</t>
        </is>
      </c>
      <c r="C10" s="26">
        <f>Assumptions!C26+Assumptions!C25</f>
        <v/>
      </c>
      <c r="D10" s="26">
        <f>C10+Assumptions!D25</f>
        <v/>
      </c>
      <c r="E10" s="26">
        <f>D10+Assumptions!E25</f>
        <v/>
      </c>
      <c r="F10" s="26">
        <f>E10+Assumptions!F25</f>
        <v/>
      </c>
      <c r="G10" s="26">
        <f>F10+Assumptions!G25</f>
        <v/>
      </c>
    </row>
    <row r="11">
      <c r="A11" s="4" t="inlineStr">
        <is>
          <t xml:space="preserve">    未分配利润</t>
        </is>
      </c>
      <c r="C11" s="26">
        <f>Assumptions!C27+IS!C18</f>
        <v/>
      </c>
      <c r="D11" s="26">
        <f>C11+IS!D18</f>
        <v/>
      </c>
      <c r="E11" s="26">
        <f>D11+IS!E18</f>
        <v/>
      </c>
      <c r="F11" s="26">
        <f>E11+IS!F18</f>
        <v/>
      </c>
      <c r="G11" s="26">
        <f>F11+IS!G18</f>
        <v/>
      </c>
    </row>
    <row r="12">
      <c r="A12" s="27" t="inlineStr">
        <is>
          <t>货币资金（倒挤）</t>
        </is>
      </c>
      <c r="C12" s="28">
        <f>BS!C9+BS!C10+BS!C11-BS!C6</f>
        <v/>
      </c>
      <c r="D12" s="28">
        <f>BS!D9+BS!D10+BS!D11-BS!D6</f>
        <v/>
      </c>
      <c r="E12" s="28">
        <f>BS!E9+BS!E10+BS!E11-BS!E6</f>
        <v/>
      </c>
      <c r="F12" s="28">
        <f>BS!F9+BS!F10+BS!F11-BS!F6</f>
        <v/>
      </c>
      <c r="G12" s="28">
        <f>BS!G9+BS!G10+BS!G11-BS!G6</f>
        <v/>
      </c>
    </row>
    <row r="13">
      <c r="A13" s="5" t="inlineStr">
        <is>
          <t>资产总计</t>
        </is>
      </c>
      <c r="C13" s="25">
        <f>BS!C12+BS!C6</f>
        <v/>
      </c>
      <c r="D13" s="25">
        <f>BS!D12+BS!D6</f>
        <v/>
      </c>
      <c r="E13" s="25">
        <f>BS!E12+BS!E6</f>
        <v/>
      </c>
      <c r="F13" s="25">
        <f>BS!F12+BS!F6</f>
        <v/>
      </c>
      <c r="G13" s="25">
        <f>BS!G12+BS!G6</f>
        <v/>
      </c>
    </row>
    <row r="14">
      <c r="A14" s="5" t="inlineStr">
        <is>
          <t>负债+权益合计</t>
        </is>
      </c>
      <c r="C14" s="25">
        <f>BS!C9+BS!C10+BS!C11</f>
        <v/>
      </c>
      <c r="D14" s="25">
        <f>BS!D9+BS!D10+BS!D11</f>
        <v/>
      </c>
      <c r="E14" s="25">
        <f>BS!E9+BS!E10+BS!E11</f>
        <v/>
      </c>
      <c r="F14" s="25">
        <f>BS!F9+BS!F10+BS!F11</f>
        <v/>
      </c>
      <c r="G14" s="25">
        <f>BS!G9+BS!G10+BS!G11</f>
        <v/>
      </c>
    </row>
    <row r="15">
      <c r="A15" s="5" t="inlineStr">
        <is>
          <t>★ BS 平衡差（应全 0）</t>
        </is>
      </c>
      <c r="C15" s="29" t="n"/>
      <c r="D15" s="29" t="n"/>
      <c r="E15" s="29" t="n"/>
      <c r="F15" s="29" t="n"/>
      <c r="G15" s="29" t="n"/>
    </row>
    <row r="16">
      <c r="A16" s="4" t="inlineStr">
        <is>
          <t xml:space="preserve">  资产 − 负债 − 权益</t>
        </is>
      </c>
      <c r="C16" s="30">
        <f>BS!C13-BS!C14</f>
        <v/>
      </c>
      <c r="D16" s="30">
        <f>BS!D13-BS!D14</f>
        <v/>
      </c>
      <c r="E16" s="30">
        <f>BS!E13-BS!E14</f>
        <v/>
      </c>
      <c r="F16" s="30">
        <f>BS!F13-BS!F14</f>
        <v/>
      </c>
      <c r="G16" s="30">
        <f>BS!G13-BS!G14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G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4" t="inlineStr">
        <is>
          <t>山雾咖啡 · 现金流量表（间接法）</t>
        </is>
      </c>
    </row>
    <row r="2">
      <c r="A2" s="2" t="inlineStr">
        <is>
          <t>与 BS 倒挤现金互为勾稽 | 万元</t>
        </is>
      </c>
    </row>
    <row r="3">
      <c r="A3" s="5" t="inlineStr">
        <is>
          <t>科目（万元）</t>
        </is>
      </c>
      <c r="B3" s="5" t="inlineStr">
        <is>
          <t>备注</t>
        </is>
      </c>
      <c r="C3" s="15" t="n">
        <v>2023</v>
      </c>
      <c r="D3" s="15" t="n">
        <v>2024</v>
      </c>
      <c r="E3" s="15" t="n">
        <v>2025</v>
      </c>
      <c r="F3" s="16" t="n">
        <v>2026</v>
      </c>
      <c r="G3" s="16" t="n">
        <v>2027</v>
      </c>
    </row>
    <row r="4">
      <c r="A4" s="4" t="inlineStr">
        <is>
          <t xml:space="preserve">    净利润</t>
        </is>
      </c>
      <c r="C4" s="26">
        <f>IS!C18</f>
        <v/>
      </c>
      <c r="D4" s="26">
        <f>IS!D18</f>
        <v/>
      </c>
      <c r="E4" s="26">
        <f>IS!E18</f>
        <v/>
      </c>
      <c r="F4" s="26">
        <f>IS!F18</f>
        <v/>
      </c>
      <c r="G4" s="26">
        <f>IS!G18</f>
        <v/>
      </c>
    </row>
    <row r="5">
      <c r="A5" s="4" t="inlineStr">
        <is>
          <t xml:space="preserve">    加：门店折旧</t>
        </is>
      </c>
      <c r="C5" s="26">
        <f>StoreCapex!C11</f>
        <v/>
      </c>
      <c r="D5" s="26">
        <f>StoreCapex!D11</f>
        <v/>
      </c>
      <c r="E5" s="26">
        <f>StoreCapex!E11</f>
        <v/>
      </c>
      <c r="F5" s="26">
        <f>StoreCapex!F11</f>
        <v/>
      </c>
      <c r="G5" s="26">
        <f>StoreCapex!G11</f>
        <v/>
      </c>
    </row>
    <row r="6">
      <c r="A6" s="4" t="inlineStr">
        <is>
          <t xml:space="preserve">    减：应收增加</t>
        </is>
      </c>
      <c r="C6" s="26">
        <f>-(BS!C4-(0))</f>
        <v/>
      </c>
      <c r="D6" s="26">
        <f>-(BS!D4-(BS!C4))</f>
        <v/>
      </c>
      <c r="E6" s="26">
        <f>-(BS!E4-(BS!D4))</f>
        <v/>
      </c>
      <c r="F6" s="26">
        <f>-(BS!F4-(BS!E4))</f>
        <v/>
      </c>
      <c r="G6" s="26">
        <f>-(BS!G4-(BS!F4))</f>
        <v/>
      </c>
    </row>
    <row r="7">
      <c r="A7" s="4" t="inlineStr">
        <is>
          <t xml:space="preserve">    加：递延增加</t>
        </is>
      </c>
      <c r="C7" s="26">
        <f>BS!C8-(0)</f>
        <v/>
      </c>
      <c r="D7" s="26">
        <f>BS!D8-(BS!C8)</f>
        <v/>
      </c>
      <c r="E7" s="26">
        <f>BS!E8-(BS!D8)</f>
        <v/>
      </c>
      <c r="F7" s="26">
        <f>BS!F8-(BS!E8)</f>
        <v/>
      </c>
      <c r="G7" s="26">
        <f>BS!G8-(BS!F8)</f>
        <v/>
      </c>
    </row>
    <row r="8">
      <c r="A8" s="4" t="inlineStr">
        <is>
          <t xml:space="preserve">    加：应付增加</t>
        </is>
      </c>
      <c r="C8" s="26">
        <f>BS!C7-(0)</f>
        <v/>
      </c>
      <c r="D8" s="26">
        <f>BS!D7-(BS!C7)</f>
        <v/>
      </c>
      <c r="E8" s="26">
        <f>BS!E7-(BS!D7)</f>
        <v/>
      </c>
      <c r="F8" s="26">
        <f>BS!F7-(BS!E7)</f>
        <v/>
      </c>
      <c r="G8" s="26">
        <f>BS!G7-(BS!F7)</f>
        <v/>
      </c>
    </row>
    <row r="9">
      <c r="A9" s="5" t="inlineStr">
        <is>
          <t xml:space="preserve">    经营现金流</t>
        </is>
      </c>
      <c r="C9" s="25">
        <f>CF!C4+CF!C5+CF!C6+CF!C7+CF!C8</f>
        <v/>
      </c>
      <c r="D9" s="25">
        <f>CF!D4+CF!D5+CF!D6+CF!D7+CF!D8</f>
        <v/>
      </c>
      <c r="E9" s="25">
        <f>CF!E4+CF!E5+CF!E6+CF!E7+CF!E8</f>
        <v/>
      </c>
      <c r="F9" s="25">
        <f>CF!F4+CF!F5+CF!F6+CF!F7+CF!F8</f>
        <v/>
      </c>
      <c r="G9" s="25">
        <f>CF!G4+CF!G5+CF!G6+CF!G7+CF!G8</f>
        <v/>
      </c>
    </row>
    <row r="10">
      <c r="A10" s="4" t="inlineStr">
        <is>
          <t xml:space="preserve">    投资现金流（开店 capex）</t>
        </is>
      </c>
      <c r="C10" s="26">
        <f>-StoreCapex!C13</f>
        <v/>
      </c>
      <c r="D10" s="26">
        <f>-StoreCapex!D13</f>
        <v/>
      </c>
      <c r="E10" s="26">
        <f>-StoreCapex!E13</f>
        <v/>
      </c>
      <c r="F10" s="26">
        <f>-StoreCapex!F13</f>
        <v/>
      </c>
      <c r="G10" s="26">
        <f>-StoreCapex!G13</f>
        <v/>
      </c>
    </row>
    <row r="11">
      <c r="A11" s="4" t="inlineStr">
        <is>
          <t xml:space="preserve">    筹资：股权注资</t>
        </is>
      </c>
      <c r="C11" s="26">
        <f>Assumptions!C25</f>
        <v/>
      </c>
      <c r="D11" s="26">
        <f>Assumptions!D25</f>
        <v/>
      </c>
      <c r="E11" s="26">
        <f>Assumptions!E25</f>
        <v/>
      </c>
      <c r="F11" s="26">
        <f>Assumptions!F25</f>
        <v/>
      </c>
      <c r="G11" s="26">
        <f>Assumptions!G25</f>
        <v/>
      </c>
    </row>
    <row r="12">
      <c r="A12" s="5" t="inlineStr">
        <is>
          <t xml:space="preserve">    现金净变动</t>
        </is>
      </c>
      <c r="C12" s="25">
        <f>CF!C9+CF!C10+CF!C11</f>
        <v/>
      </c>
      <c r="D12" s="25">
        <f>CF!D9+CF!D10+CF!D11</f>
        <v/>
      </c>
      <c r="E12" s="25">
        <f>CF!E9+CF!E10+CF!E11</f>
        <v/>
      </c>
      <c r="F12" s="25">
        <f>CF!F9+CF!F10+CF!F11</f>
        <v/>
      </c>
      <c r="G12" s="25">
        <f>CF!G9+CF!G10+CF!G11</f>
        <v/>
      </c>
    </row>
    <row r="13">
      <c r="A13" s="5" t="inlineStr">
        <is>
          <t xml:space="preserve">    期末现金（CF）</t>
        </is>
      </c>
      <c r="C13" s="25">
        <f>64000.0+CF!C12</f>
        <v/>
      </c>
      <c r="D13" s="25">
        <f>C13+CF!D12</f>
        <v/>
      </c>
      <c r="E13" s="25">
        <f>D13+CF!E12</f>
        <v/>
      </c>
      <c r="F13" s="25">
        <f>E13+CF!F12</f>
        <v/>
      </c>
      <c r="G13" s="25">
        <f>F13+CF!G12</f>
        <v/>
      </c>
    </row>
    <row r="14">
      <c r="A14" s="4" t="inlineStr">
        <is>
          <t xml:space="preserve">    期末现金（BS 倒挤）</t>
        </is>
      </c>
      <c r="C14" s="26">
        <f>BS!C12</f>
        <v/>
      </c>
      <c r="D14" s="26">
        <f>BS!D12</f>
        <v/>
      </c>
      <c r="E14" s="26">
        <f>BS!E12</f>
        <v/>
      </c>
      <c r="F14" s="26">
        <f>BS!F12</f>
        <v/>
      </c>
      <c r="G14" s="26">
        <f>BS!G12</f>
        <v/>
      </c>
    </row>
    <row r="15">
      <c r="A15" s="5" t="inlineStr">
        <is>
          <t>★ CF=BS 差异（应全 0）</t>
        </is>
      </c>
      <c r="C15" s="29" t="n"/>
      <c r="D15" s="29" t="n"/>
      <c r="E15" s="29" t="n"/>
      <c r="F15" s="29" t="n"/>
      <c r="G15" s="29" t="n"/>
    </row>
    <row r="16">
      <c r="A16" s="4" t="inlineStr">
        <is>
          <t xml:space="preserve">  CF推导 − BS倒挤</t>
        </is>
      </c>
      <c r="C16" s="30">
        <f>CF!C13-CF!C14</f>
        <v/>
      </c>
      <c r="D16" s="30">
        <f>CF!D13-CF!D14</f>
        <v/>
      </c>
      <c r="E16" s="30">
        <f>CF!E13-CF!E14</f>
        <v/>
      </c>
      <c r="F16" s="30">
        <f>CF!F13-CF!F14</f>
        <v/>
      </c>
      <c r="G16" s="30">
        <f>CF!G13-CF!G14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0" customWidth="1" min="5" max="5"/>
    <col width="14" customWidth="1" min="6" max="6"/>
  </cols>
  <sheetData>
    <row r="1">
      <c r="A1" s="10" t="inlineStr">
        <is>
          <t>entity</t>
        </is>
      </c>
      <c r="B1" s="10" t="inlineStr">
        <is>
          <t>segment</t>
        </is>
      </c>
      <c r="C1" s="10" t="inlineStr">
        <is>
          <t>region</t>
        </is>
      </c>
      <c r="D1" s="10" t="inlineStr">
        <is>
          <t>period</t>
        </is>
      </c>
      <c r="E1" s="10" t="inlineStr">
        <is>
          <t>account</t>
        </is>
      </c>
      <c r="F1" s="10" t="inlineStr">
        <is>
          <t>value</t>
        </is>
      </c>
    </row>
    <row r="2">
      <c r="A2" t="inlineStr">
        <is>
          <t>GROUP</t>
        </is>
      </c>
      <c r="B2" t="inlineStr">
        <is>
          <t>现制饮品</t>
        </is>
      </c>
      <c r="C2" t="inlineStr">
        <is>
          <t>一线</t>
        </is>
      </c>
      <c r="D2" t="n">
        <v>2023</v>
      </c>
      <c r="E2" t="inlineStr">
        <is>
          <t>收入</t>
        </is>
      </c>
      <c r="F2" s="8" t="n">
        <v>68985</v>
      </c>
    </row>
    <row r="3">
      <c r="A3" t="inlineStr">
        <is>
          <t>GROUP</t>
        </is>
      </c>
      <c r="B3" t="inlineStr">
        <is>
          <t>现制饮品</t>
        </is>
      </c>
      <c r="C3" t="inlineStr">
        <is>
          <t>新一线</t>
        </is>
      </c>
      <c r="D3" t="n">
        <v>2023</v>
      </c>
      <c r="E3" t="inlineStr">
        <is>
          <t>收入</t>
        </is>
      </c>
      <c r="F3" s="8" t="n">
        <v>45990</v>
      </c>
    </row>
    <row r="4">
      <c r="A4" t="inlineStr">
        <is>
          <t>GROUP</t>
        </is>
      </c>
      <c r="B4" t="inlineStr">
        <is>
          <t>现制饮品</t>
        </is>
      </c>
      <c r="C4" t="inlineStr">
        <is>
          <t>二线及以下</t>
        </is>
      </c>
      <c r="D4" t="n">
        <v>2023</v>
      </c>
      <c r="E4" t="inlineStr">
        <is>
          <t>收入</t>
        </is>
      </c>
      <c r="F4" s="8" t="n">
        <v>27594</v>
      </c>
    </row>
    <row r="5">
      <c r="A5" t="inlineStr">
        <is>
          <t>GROUP</t>
        </is>
      </c>
      <c r="B5" t="inlineStr">
        <is>
          <t>现制饮品</t>
        </is>
      </c>
      <c r="C5" t="inlineStr">
        <is>
          <t>海外</t>
        </is>
      </c>
      <c r="D5" t="n">
        <v>2023</v>
      </c>
      <c r="E5" t="inlineStr">
        <is>
          <t>收入</t>
        </is>
      </c>
      <c r="F5" s="8" t="n">
        <v>10731</v>
      </c>
    </row>
    <row r="6">
      <c r="A6" t="inlineStr">
        <is>
          <t>GROUP</t>
        </is>
      </c>
      <c r="B6" t="inlineStr">
        <is>
          <t>现制饮品</t>
        </is>
      </c>
      <c r="C6" t="inlineStr">
        <is>
          <t>集团</t>
        </is>
      </c>
      <c r="D6" t="n">
        <v>2023</v>
      </c>
      <c r="E6" t="inlineStr">
        <is>
          <t>成本</t>
        </is>
      </c>
      <c r="F6" s="8" t="n">
        <v>117700.111111</v>
      </c>
    </row>
    <row r="7">
      <c r="A7" t="inlineStr">
        <is>
          <t>GROUP</t>
        </is>
      </c>
      <c r="B7" t="inlineStr">
        <is>
          <t>零售产品</t>
        </is>
      </c>
      <c r="C7" t="inlineStr">
        <is>
          <t>一线</t>
        </is>
      </c>
      <c r="D7" t="n">
        <v>2023</v>
      </c>
      <c r="E7" t="inlineStr">
        <is>
          <t>收入</t>
        </is>
      </c>
      <c r="F7" s="8" t="n">
        <v>5518.8</v>
      </c>
    </row>
    <row r="8">
      <c r="A8" t="inlineStr">
        <is>
          <t>GROUP</t>
        </is>
      </c>
      <c r="B8" t="inlineStr">
        <is>
          <t>零售产品</t>
        </is>
      </c>
      <c r="C8" t="inlineStr">
        <is>
          <t>新一线</t>
        </is>
      </c>
      <c r="D8" t="n">
        <v>2023</v>
      </c>
      <c r="E8" t="inlineStr">
        <is>
          <t>收入</t>
        </is>
      </c>
      <c r="F8" s="8" t="n">
        <v>3679.2</v>
      </c>
    </row>
    <row r="9">
      <c r="A9" t="inlineStr">
        <is>
          <t>GROUP</t>
        </is>
      </c>
      <c r="B9" t="inlineStr">
        <is>
          <t>零售产品</t>
        </is>
      </c>
      <c r="C9" t="inlineStr">
        <is>
          <t>二线及以下</t>
        </is>
      </c>
      <c r="D9" t="n">
        <v>2023</v>
      </c>
      <c r="E9" t="inlineStr">
        <is>
          <t>收入</t>
        </is>
      </c>
      <c r="F9" s="8" t="n">
        <v>2207.52</v>
      </c>
    </row>
    <row r="10">
      <c r="A10" t="inlineStr">
        <is>
          <t>GROUP</t>
        </is>
      </c>
      <c r="B10" t="inlineStr">
        <is>
          <t>零售产品</t>
        </is>
      </c>
      <c r="C10" t="inlineStr">
        <is>
          <t>海外</t>
        </is>
      </c>
      <c r="D10" t="n">
        <v>2023</v>
      </c>
      <c r="E10" t="inlineStr">
        <is>
          <t>收入</t>
        </is>
      </c>
      <c r="F10" s="8" t="n">
        <v>858.48</v>
      </c>
    </row>
    <row r="11">
      <c r="A11" t="inlineStr">
        <is>
          <t>GROUP</t>
        </is>
      </c>
      <c r="B11" t="inlineStr">
        <is>
          <t>零售产品</t>
        </is>
      </c>
      <c r="C11" t="inlineStr">
        <is>
          <t>集团</t>
        </is>
      </c>
      <c r="D11" t="n">
        <v>2023</v>
      </c>
      <c r="E11" t="inlineStr">
        <is>
          <t>成本</t>
        </is>
      </c>
      <c r="F11" s="8" t="n">
        <v>9416.008889000001</v>
      </c>
    </row>
    <row r="12">
      <c r="A12" t="inlineStr">
        <is>
          <t>GROUP</t>
        </is>
      </c>
      <c r="B12" t="inlineStr">
        <is>
          <t>集团</t>
        </is>
      </c>
      <c r="C12" t="inlineStr">
        <is>
          <t>集团</t>
        </is>
      </c>
      <c r="D12" t="n">
        <v>2023</v>
      </c>
      <c r="E12" t="inlineStr">
        <is>
          <t>毛利</t>
        </is>
      </c>
      <c r="F12" s="8" t="n">
        <v>38447.88</v>
      </c>
    </row>
    <row r="13">
      <c r="A13" t="inlineStr">
        <is>
          <t>GROUP</t>
        </is>
      </c>
      <c r="B13" t="inlineStr">
        <is>
          <t>集团</t>
        </is>
      </c>
      <c r="C13" t="inlineStr">
        <is>
          <t>集团</t>
        </is>
      </c>
      <c r="D13" t="n">
        <v>2023</v>
      </c>
      <c r="E13" t="inlineStr">
        <is>
          <t>EBIT</t>
        </is>
      </c>
      <c r="F13" s="8" t="n">
        <v>19399.94</v>
      </c>
    </row>
    <row r="14">
      <c r="A14" t="inlineStr">
        <is>
          <t>GROUP</t>
        </is>
      </c>
      <c r="B14" t="inlineStr">
        <is>
          <t>集团</t>
        </is>
      </c>
      <c r="C14" t="inlineStr">
        <is>
          <t>集团</t>
        </is>
      </c>
      <c r="D14" t="n">
        <v>2023</v>
      </c>
      <c r="E14" t="inlineStr">
        <is>
          <t>净利润</t>
        </is>
      </c>
      <c r="F14" s="8" t="n">
        <v>14549.955</v>
      </c>
    </row>
    <row r="15">
      <c r="A15" t="inlineStr">
        <is>
          <t>GROUP</t>
        </is>
      </c>
      <c r="B15" t="inlineStr">
        <is>
          <t>现制饮品</t>
        </is>
      </c>
      <c r="C15" t="inlineStr">
        <is>
          <t>一线</t>
        </is>
      </c>
      <c r="D15" t="n">
        <v>2024</v>
      </c>
      <c r="E15" t="inlineStr">
        <is>
          <t>收入</t>
        </is>
      </c>
      <c r="F15" s="8" t="n">
        <v>114055.2</v>
      </c>
    </row>
    <row r="16">
      <c r="A16" t="inlineStr">
        <is>
          <t>GROUP</t>
        </is>
      </c>
      <c r="B16" t="inlineStr">
        <is>
          <t>现制饮品</t>
        </is>
      </c>
      <c r="C16" t="inlineStr">
        <is>
          <t>新一线</t>
        </is>
      </c>
      <c r="D16" t="n">
        <v>2024</v>
      </c>
      <c r="E16" t="inlineStr">
        <is>
          <t>收入</t>
        </is>
      </c>
      <c r="F16" s="8" t="n">
        <v>81468</v>
      </c>
    </row>
    <row r="17">
      <c r="A17" t="inlineStr">
        <is>
          <t>GROUP</t>
        </is>
      </c>
      <c r="B17" t="inlineStr">
        <is>
          <t>现制饮品</t>
        </is>
      </c>
      <c r="C17" t="inlineStr">
        <is>
          <t>二线及以下</t>
        </is>
      </c>
      <c r="D17" t="n">
        <v>2024</v>
      </c>
      <c r="E17" t="inlineStr">
        <is>
          <t>收入</t>
        </is>
      </c>
      <c r="F17" s="8" t="n">
        <v>57027.6</v>
      </c>
    </row>
    <row r="18">
      <c r="A18" t="inlineStr">
        <is>
          <t>GROUP</t>
        </is>
      </c>
      <c r="B18" t="inlineStr">
        <is>
          <t>现制饮品</t>
        </is>
      </c>
      <c r="C18" t="inlineStr">
        <is>
          <t>海外</t>
        </is>
      </c>
      <c r="D18" t="n">
        <v>2024</v>
      </c>
      <c r="E18" t="inlineStr">
        <is>
          <t>收入</t>
        </is>
      </c>
      <c r="F18" s="8" t="n">
        <v>19009.2</v>
      </c>
    </row>
    <row r="19">
      <c r="A19" t="inlineStr">
        <is>
          <t>GROUP</t>
        </is>
      </c>
      <c r="B19" t="inlineStr">
        <is>
          <t>现制饮品</t>
        </is>
      </c>
      <c r="C19" t="inlineStr">
        <is>
          <t>集团</t>
        </is>
      </c>
      <c r="D19" t="n">
        <v>2024</v>
      </c>
      <c r="E19" t="inlineStr">
        <is>
          <t>成本</t>
        </is>
      </c>
      <c r="F19" s="8" t="n">
        <v>190232.533333</v>
      </c>
    </row>
    <row r="20">
      <c r="A20" t="inlineStr">
        <is>
          <t>GROUP</t>
        </is>
      </c>
      <c r="B20" t="inlineStr">
        <is>
          <t>零售产品</t>
        </is>
      </c>
      <c r="C20" t="inlineStr">
        <is>
          <t>一线</t>
        </is>
      </c>
      <c r="D20" t="n">
        <v>2024</v>
      </c>
      <c r="E20" t="inlineStr">
        <is>
          <t>收入</t>
        </is>
      </c>
      <c r="F20" s="8" t="n">
        <v>9124.415999999999</v>
      </c>
    </row>
    <row r="21">
      <c r="A21" t="inlineStr">
        <is>
          <t>GROUP</t>
        </is>
      </c>
      <c r="B21" t="inlineStr">
        <is>
          <t>零售产品</t>
        </is>
      </c>
      <c r="C21" t="inlineStr">
        <is>
          <t>新一线</t>
        </is>
      </c>
      <c r="D21" t="n">
        <v>2024</v>
      </c>
      <c r="E21" t="inlineStr">
        <is>
          <t>收入</t>
        </is>
      </c>
      <c r="F21" s="8" t="n">
        <v>6517.44</v>
      </c>
    </row>
    <row r="22">
      <c r="A22" t="inlineStr">
        <is>
          <t>GROUP</t>
        </is>
      </c>
      <c r="B22" t="inlineStr">
        <is>
          <t>零售产品</t>
        </is>
      </c>
      <c r="C22" t="inlineStr">
        <is>
          <t>二线及以下</t>
        </is>
      </c>
      <c r="D22" t="n">
        <v>2024</v>
      </c>
      <c r="E22" t="inlineStr">
        <is>
          <t>收入</t>
        </is>
      </c>
      <c r="F22" s="8" t="n">
        <v>4562.208</v>
      </c>
    </row>
    <row r="23">
      <c r="A23" t="inlineStr">
        <is>
          <t>GROUP</t>
        </is>
      </c>
      <c r="B23" t="inlineStr">
        <is>
          <t>零售产品</t>
        </is>
      </c>
      <c r="C23" t="inlineStr">
        <is>
          <t>海外</t>
        </is>
      </c>
      <c r="D23" t="n">
        <v>2024</v>
      </c>
      <c r="E23" t="inlineStr">
        <is>
          <t>收入</t>
        </is>
      </c>
      <c r="F23" s="8" t="n">
        <v>1520.736</v>
      </c>
    </row>
    <row r="24">
      <c r="A24" t="inlineStr">
        <is>
          <t>GROUP</t>
        </is>
      </c>
      <c r="B24" t="inlineStr">
        <is>
          <t>零售产品</t>
        </is>
      </c>
      <c r="C24" t="inlineStr">
        <is>
          <t>集团</t>
        </is>
      </c>
      <c r="D24" t="n">
        <v>2024</v>
      </c>
      <c r="E24" t="inlineStr">
        <is>
          <t>成本</t>
        </is>
      </c>
      <c r="F24" s="8" t="n">
        <v>15218.602667</v>
      </c>
    </row>
    <row r="25">
      <c r="A25" t="inlineStr">
        <is>
          <t>GROUP</t>
        </is>
      </c>
      <c r="B25" t="inlineStr">
        <is>
          <t>集团</t>
        </is>
      </c>
      <c r="C25" t="inlineStr">
        <is>
          <t>集团</t>
        </is>
      </c>
      <c r="D25" t="n">
        <v>2024</v>
      </c>
      <c r="E25" t="inlineStr">
        <is>
          <t>毛利</t>
        </is>
      </c>
      <c r="F25" s="8" t="n">
        <v>87833.664</v>
      </c>
    </row>
    <row r="26">
      <c r="A26" t="inlineStr">
        <is>
          <t>GROUP</t>
        </is>
      </c>
      <c r="B26" t="inlineStr">
        <is>
          <t>集团</t>
        </is>
      </c>
      <c r="C26" t="inlineStr">
        <is>
          <t>集团</t>
        </is>
      </c>
      <c r="D26" t="n">
        <v>2024</v>
      </c>
      <c r="E26" t="inlineStr">
        <is>
          <t>EBIT</t>
        </is>
      </c>
      <c r="F26" s="8" t="n">
        <v>59312.304</v>
      </c>
    </row>
    <row r="27">
      <c r="A27" t="inlineStr">
        <is>
          <t>GROUP</t>
        </is>
      </c>
      <c r="B27" t="inlineStr">
        <is>
          <t>集团</t>
        </is>
      </c>
      <c r="C27" t="inlineStr">
        <is>
          <t>集团</t>
        </is>
      </c>
      <c r="D27" t="n">
        <v>2024</v>
      </c>
      <c r="E27" t="inlineStr">
        <is>
          <t>净利润</t>
        </is>
      </c>
      <c r="F27" s="8" t="n">
        <v>44484.228</v>
      </c>
    </row>
    <row r="28">
      <c r="A28" t="inlineStr">
        <is>
          <t>GROUP</t>
        </is>
      </c>
      <c r="B28" t="inlineStr">
        <is>
          <t>现制饮品</t>
        </is>
      </c>
      <c r="C28" t="inlineStr">
        <is>
          <t>一线</t>
        </is>
      </c>
      <c r="D28" t="n">
        <v>2025</v>
      </c>
      <c r="E28" t="inlineStr">
        <is>
          <t>收入</t>
        </is>
      </c>
      <c r="F28" s="8" t="n">
        <v>189216</v>
      </c>
    </row>
    <row r="29">
      <c r="A29" t="inlineStr">
        <is>
          <t>GROUP</t>
        </is>
      </c>
      <c r="B29" t="inlineStr">
        <is>
          <t>现制饮品</t>
        </is>
      </c>
      <c r="C29" t="inlineStr">
        <is>
          <t>新一线</t>
        </is>
      </c>
      <c r="D29" t="n">
        <v>2025</v>
      </c>
      <c r="E29" t="inlineStr">
        <is>
          <t>收入</t>
        </is>
      </c>
      <c r="F29" s="8" t="n">
        <v>141912</v>
      </c>
    </row>
    <row r="30">
      <c r="A30" t="inlineStr">
        <is>
          <t>GROUP</t>
        </is>
      </c>
      <c r="B30" t="inlineStr">
        <is>
          <t>现制饮品</t>
        </is>
      </c>
      <c r="C30" t="inlineStr">
        <is>
          <t>二线及以下</t>
        </is>
      </c>
      <c r="D30" t="n">
        <v>2025</v>
      </c>
      <c r="E30" t="inlineStr">
        <is>
          <t>收入</t>
        </is>
      </c>
      <c r="F30" s="8" t="n">
        <v>108799.2</v>
      </c>
    </row>
    <row r="31">
      <c r="A31" t="inlineStr">
        <is>
          <t>GROUP</t>
        </is>
      </c>
      <c r="B31" t="inlineStr">
        <is>
          <t>现制饮品</t>
        </is>
      </c>
      <c r="C31" t="inlineStr">
        <is>
          <t>海外</t>
        </is>
      </c>
      <c r="D31" t="n">
        <v>2025</v>
      </c>
      <c r="E31" t="inlineStr">
        <is>
          <t>收入</t>
        </is>
      </c>
      <c r="F31" s="8" t="n">
        <v>33112.8</v>
      </c>
    </row>
    <row r="32">
      <c r="A32" t="inlineStr">
        <is>
          <t>GROUP</t>
        </is>
      </c>
      <c r="B32" t="inlineStr">
        <is>
          <t>现制饮品</t>
        </is>
      </c>
      <c r="C32" t="inlineStr">
        <is>
          <t>集团</t>
        </is>
      </c>
      <c r="D32" t="n">
        <v>2025</v>
      </c>
      <c r="E32" t="inlineStr">
        <is>
          <t>成本</t>
        </is>
      </c>
      <c r="F32" s="8" t="n">
        <v>310007.6</v>
      </c>
    </row>
    <row r="33">
      <c r="A33" t="inlineStr">
        <is>
          <t>GROUP</t>
        </is>
      </c>
      <c r="B33" t="inlineStr">
        <is>
          <t>零售产品</t>
        </is>
      </c>
      <c r="C33" t="inlineStr">
        <is>
          <t>一线</t>
        </is>
      </c>
      <c r="D33" t="n">
        <v>2025</v>
      </c>
      <c r="E33" t="inlineStr">
        <is>
          <t>收入</t>
        </is>
      </c>
      <c r="F33" s="8" t="n">
        <v>15137.28</v>
      </c>
    </row>
    <row r="34">
      <c r="A34" t="inlineStr">
        <is>
          <t>GROUP</t>
        </is>
      </c>
      <c r="B34" t="inlineStr">
        <is>
          <t>零售产品</t>
        </is>
      </c>
      <c r="C34" t="inlineStr">
        <is>
          <t>新一线</t>
        </is>
      </c>
      <c r="D34" t="n">
        <v>2025</v>
      </c>
      <c r="E34" t="inlineStr">
        <is>
          <t>收入</t>
        </is>
      </c>
      <c r="F34" s="8" t="n">
        <v>11352.96</v>
      </c>
    </row>
    <row r="35">
      <c r="A35" t="inlineStr">
        <is>
          <t>GROUP</t>
        </is>
      </c>
      <c r="B35" t="inlineStr">
        <is>
          <t>零售产品</t>
        </is>
      </c>
      <c r="C35" t="inlineStr">
        <is>
          <t>二线及以下</t>
        </is>
      </c>
      <c r="D35" t="n">
        <v>2025</v>
      </c>
      <c r="E35" t="inlineStr">
        <is>
          <t>收入</t>
        </is>
      </c>
      <c r="F35" s="8" t="n">
        <v>8703.936</v>
      </c>
    </row>
    <row r="36">
      <c r="A36" t="inlineStr">
        <is>
          <t>GROUP</t>
        </is>
      </c>
      <c r="B36" t="inlineStr">
        <is>
          <t>零售产品</t>
        </is>
      </c>
      <c r="C36" t="inlineStr">
        <is>
          <t>海外</t>
        </is>
      </c>
      <c r="D36" t="n">
        <v>2025</v>
      </c>
      <c r="E36" t="inlineStr">
        <is>
          <t>收入</t>
        </is>
      </c>
      <c r="F36" s="8" t="n">
        <v>2649.024</v>
      </c>
    </row>
    <row r="37">
      <c r="A37" t="inlineStr">
        <is>
          <t>GROUP</t>
        </is>
      </c>
      <c r="B37" t="inlineStr">
        <is>
          <t>零售产品</t>
        </is>
      </c>
      <c r="C37" t="inlineStr">
        <is>
          <t>集团</t>
        </is>
      </c>
      <c r="D37" t="n">
        <v>2025</v>
      </c>
      <c r="E37" t="inlineStr">
        <is>
          <t>成本</t>
        </is>
      </c>
      <c r="F37" s="8" t="n">
        <v>24800.608</v>
      </c>
    </row>
    <row r="38">
      <c r="A38" t="inlineStr">
        <is>
          <t>GROUP</t>
        </is>
      </c>
      <c r="B38" t="inlineStr">
        <is>
          <t>集团</t>
        </is>
      </c>
      <c r="C38" t="inlineStr">
        <is>
          <t>集团</t>
        </is>
      </c>
      <c r="D38" t="n">
        <v>2025</v>
      </c>
      <c r="E38" t="inlineStr">
        <is>
          <t>毛利</t>
        </is>
      </c>
      <c r="F38" s="8" t="n">
        <v>176074.992</v>
      </c>
    </row>
    <row r="39">
      <c r="A39" t="inlineStr">
        <is>
          <t>GROUP</t>
        </is>
      </c>
      <c r="B39" t="inlineStr">
        <is>
          <t>集团</t>
        </is>
      </c>
      <c r="C39" t="inlineStr">
        <is>
          <t>集团</t>
        </is>
      </c>
      <c r="D39" t="n">
        <v>2025</v>
      </c>
      <c r="E39" t="inlineStr">
        <is>
          <t>EBIT</t>
        </is>
      </c>
      <c r="F39" s="8" t="n">
        <v>134117.584</v>
      </c>
    </row>
    <row r="40">
      <c r="A40" t="inlineStr">
        <is>
          <t>GROUP</t>
        </is>
      </c>
      <c r="B40" t="inlineStr">
        <is>
          <t>集团</t>
        </is>
      </c>
      <c r="C40" t="inlineStr">
        <is>
          <t>集团</t>
        </is>
      </c>
      <c r="D40" t="n">
        <v>2025</v>
      </c>
      <c r="E40" t="inlineStr">
        <is>
          <t>净利润</t>
        </is>
      </c>
      <c r="F40" s="8" t="n">
        <v>100588.188</v>
      </c>
    </row>
    <row r="41">
      <c r="A41" t="inlineStr">
        <is>
          <t>GROUP</t>
        </is>
      </c>
      <c r="B41" t="inlineStr">
        <is>
          <t>现制饮品</t>
        </is>
      </c>
      <c r="C41" t="inlineStr">
        <is>
          <t>一线</t>
        </is>
      </c>
      <c r="D41" t="n">
        <v>2026</v>
      </c>
      <c r="E41" t="inlineStr">
        <is>
          <t>收入</t>
        </is>
      </c>
      <c r="F41" s="8" t="n">
        <v>252655.92</v>
      </c>
    </row>
    <row r="42">
      <c r="A42" t="inlineStr">
        <is>
          <t>GROUP</t>
        </is>
      </c>
      <c r="B42" t="inlineStr">
        <is>
          <t>现制饮品</t>
        </is>
      </c>
      <c r="C42" t="inlineStr">
        <is>
          <t>新一线</t>
        </is>
      </c>
      <c r="D42" t="n">
        <v>2026</v>
      </c>
      <c r="E42" t="inlineStr">
        <is>
          <t>收入</t>
        </is>
      </c>
      <c r="F42" s="8" t="n">
        <v>199465.2</v>
      </c>
    </row>
    <row r="43">
      <c r="A43" t="inlineStr">
        <is>
          <t>GROUP</t>
        </is>
      </c>
      <c r="B43" t="inlineStr">
        <is>
          <t>现制饮品</t>
        </is>
      </c>
      <c r="C43" t="inlineStr">
        <is>
          <t>二线及以下</t>
        </is>
      </c>
      <c r="D43" t="n">
        <v>2026</v>
      </c>
      <c r="E43" t="inlineStr">
        <is>
          <t>收入</t>
        </is>
      </c>
      <c r="F43" s="8" t="n">
        <v>166221</v>
      </c>
    </row>
    <row r="44">
      <c r="A44" t="inlineStr">
        <is>
          <t>GROUP</t>
        </is>
      </c>
      <c r="B44" t="inlineStr">
        <is>
          <t>现制饮品</t>
        </is>
      </c>
      <c r="C44" t="inlineStr">
        <is>
          <t>海外</t>
        </is>
      </c>
      <c r="D44" t="n">
        <v>2026</v>
      </c>
      <c r="E44" t="inlineStr">
        <is>
          <t>收入</t>
        </is>
      </c>
      <c r="F44" s="8" t="n">
        <v>46541.88</v>
      </c>
    </row>
    <row r="45">
      <c r="A45" t="inlineStr">
        <is>
          <t>GROUP</t>
        </is>
      </c>
      <c r="B45" t="inlineStr">
        <is>
          <t>现制饮品</t>
        </is>
      </c>
      <c r="C45" t="inlineStr">
        <is>
          <t>集团</t>
        </is>
      </c>
      <c r="D45" t="n">
        <v>2026</v>
      </c>
      <c r="E45" t="inlineStr">
        <is>
          <t>成本</t>
        </is>
      </c>
      <c r="F45" s="8" t="n">
        <v>419502.928889</v>
      </c>
    </row>
    <row r="46">
      <c r="A46" t="inlineStr">
        <is>
          <t>GROUP</t>
        </is>
      </c>
      <c r="B46" t="inlineStr">
        <is>
          <t>零售产品</t>
        </is>
      </c>
      <c r="C46" t="inlineStr">
        <is>
          <t>一线</t>
        </is>
      </c>
      <c r="D46" t="n">
        <v>2026</v>
      </c>
      <c r="E46" t="inlineStr">
        <is>
          <t>收入</t>
        </is>
      </c>
      <c r="F46" s="8" t="n">
        <v>20212.4736</v>
      </c>
    </row>
    <row r="47">
      <c r="A47" t="inlineStr">
        <is>
          <t>GROUP</t>
        </is>
      </c>
      <c r="B47" t="inlineStr">
        <is>
          <t>零售产品</t>
        </is>
      </c>
      <c r="C47" t="inlineStr">
        <is>
          <t>新一线</t>
        </is>
      </c>
      <c r="D47" t="n">
        <v>2026</v>
      </c>
      <c r="E47" t="inlineStr">
        <is>
          <t>收入</t>
        </is>
      </c>
      <c r="F47" s="8" t="n">
        <v>15957.216</v>
      </c>
    </row>
    <row r="48">
      <c r="A48" t="inlineStr">
        <is>
          <t>GROUP</t>
        </is>
      </c>
      <c r="B48" t="inlineStr">
        <is>
          <t>零售产品</t>
        </is>
      </c>
      <c r="C48" t="inlineStr">
        <is>
          <t>二线及以下</t>
        </is>
      </c>
      <c r="D48" t="n">
        <v>2026</v>
      </c>
      <c r="E48" t="inlineStr">
        <is>
          <t>收入</t>
        </is>
      </c>
      <c r="F48" s="8" t="n">
        <v>13297.68</v>
      </c>
    </row>
    <row r="49">
      <c r="A49" t="inlineStr">
        <is>
          <t>GROUP</t>
        </is>
      </c>
      <c r="B49" t="inlineStr">
        <is>
          <t>零售产品</t>
        </is>
      </c>
      <c r="C49" t="inlineStr">
        <is>
          <t>海外</t>
        </is>
      </c>
      <c r="D49" t="n">
        <v>2026</v>
      </c>
      <c r="E49" t="inlineStr">
        <is>
          <t>收入</t>
        </is>
      </c>
      <c r="F49" s="8" t="n">
        <v>3723.3504</v>
      </c>
    </row>
    <row r="50">
      <c r="A50" t="inlineStr">
        <is>
          <t>GROUP</t>
        </is>
      </c>
      <c r="B50" t="inlineStr">
        <is>
          <t>零售产品</t>
        </is>
      </c>
      <c r="C50" t="inlineStr">
        <is>
          <t>集团</t>
        </is>
      </c>
      <c r="D50" t="n">
        <v>2026</v>
      </c>
      <c r="E50" t="inlineStr">
        <is>
          <t>成本</t>
        </is>
      </c>
      <c r="F50" s="8" t="n">
        <v>33560.234311</v>
      </c>
    </row>
    <row r="51">
      <c r="A51" t="inlineStr">
        <is>
          <t>GROUP</t>
        </is>
      </c>
      <c r="B51" t="inlineStr">
        <is>
          <t>集团</t>
        </is>
      </c>
      <c r="C51" t="inlineStr">
        <is>
          <t>集团</t>
        </is>
      </c>
      <c r="D51" t="n">
        <v>2026</v>
      </c>
      <c r="E51" t="inlineStr">
        <is>
          <t>毛利</t>
        </is>
      </c>
      <c r="F51" s="8" t="n">
        <v>265011.5568</v>
      </c>
    </row>
    <row r="52">
      <c r="A52" t="inlineStr">
        <is>
          <t>GROUP</t>
        </is>
      </c>
      <c r="B52" t="inlineStr">
        <is>
          <t>集团</t>
        </is>
      </c>
      <c r="C52" t="inlineStr">
        <is>
          <t>集团</t>
        </is>
      </c>
      <c r="D52" t="n">
        <v>2026</v>
      </c>
      <c r="E52" t="inlineStr">
        <is>
          <t>EBIT</t>
        </is>
      </c>
      <c r="F52" s="8" t="n">
        <v>213063.22304</v>
      </c>
    </row>
    <row r="53">
      <c r="A53" t="inlineStr">
        <is>
          <t>GROUP</t>
        </is>
      </c>
      <c r="B53" t="inlineStr">
        <is>
          <t>集团</t>
        </is>
      </c>
      <c r="C53" t="inlineStr">
        <is>
          <t>集团</t>
        </is>
      </c>
      <c r="D53" t="n">
        <v>2026</v>
      </c>
      <c r="E53" t="inlineStr">
        <is>
          <t>净利润</t>
        </is>
      </c>
      <c r="F53" s="8" t="n">
        <v>159797.41728</v>
      </c>
    </row>
    <row r="54">
      <c r="A54" t="inlineStr">
        <is>
          <t>GROUP</t>
        </is>
      </c>
      <c r="B54" t="inlineStr">
        <is>
          <t>现制饮品</t>
        </is>
      </c>
      <c r="C54" t="inlineStr">
        <is>
          <t>一线</t>
        </is>
      </c>
      <c r="D54" t="n">
        <v>2027</v>
      </c>
      <c r="E54" t="inlineStr">
        <is>
          <t>收入</t>
        </is>
      </c>
      <c r="F54" s="8" t="n">
        <v>312732</v>
      </c>
    </row>
    <row r="55">
      <c r="A55" t="inlineStr">
        <is>
          <t>GROUP</t>
        </is>
      </c>
      <c r="B55" t="inlineStr">
        <is>
          <t>现制饮品</t>
        </is>
      </c>
      <c r="C55" t="inlineStr">
        <is>
          <t>新一线</t>
        </is>
      </c>
      <c r="D55" t="n">
        <v>2027</v>
      </c>
      <c r="E55" t="inlineStr">
        <is>
          <t>收入</t>
        </is>
      </c>
      <c r="F55" s="8" t="n">
        <v>260610</v>
      </c>
    </row>
    <row r="56">
      <c r="A56" t="inlineStr">
        <is>
          <t>GROUP</t>
        </is>
      </c>
      <c r="B56" t="inlineStr">
        <is>
          <t>现制饮品</t>
        </is>
      </c>
      <c r="C56" t="inlineStr">
        <is>
          <t>二线及以下</t>
        </is>
      </c>
      <c r="D56" t="n">
        <v>2027</v>
      </c>
      <c r="E56" t="inlineStr">
        <is>
          <t>收入</t>
        </is>
      </c>
      <c r="F56" s="8" t="n">
        <v>234549</v>
      </c>
    </row>
    <row r="57">
      <c r="A57" t="inlineStr">
        <is>
          <t>GROUP</t>
        </is>
      </c>
      <c r="B57" t="inlineStr">
        <is>
          <t>现制饮品</t>
        </is>
      </c>
      <c r="C57" t="inlineStr">
        <is>
          <t>海外</t>
        </is>
      </c>
      <c r="D57" t="n">
        <v>2027</v>
      </c>
      <c r="E57" t="inlineStr">
        <is>
          <t>收入</t>
        </is>
      </c>
      <c r="F57" s="8" t="n">
        <v>60809</v>
      </c>
    </row>
    <row r="58">
      <c r="A58" t="inlineStr">
        <is>
          <t>GROUP</t>
        </is>
      </c>
      <c r="B58" t="inlineStr">
        <is>
          <t>现制饮品</t>
        </is>
      </c>
      <c r="C58" t="inlineStr">
        <is>
          <t>集团</t>
        </is>
      </c>
      <c r="D58" t="n">
        <v>2027</v>
      </c>
      <c r="E58" t="inlineStr">
        <is>
          <t>成本</t>
        </is>
      </c>
      <c r="F58" s="8" t="n">
        <v>537175.722222</v>
      </c>
    </row>
    <row r="59">
      <c r="A59" t="inlineStr">
        <is>
          <t>GROUP</t>
        </is>
      </c>
      <c r="B59" t="inlineStr">
        <is>
          <t>零售产品</t>
        </is>
      </c>
      <c r="C59" t="inlineStr">
        <is>
          <t>一线</t>
        </is>
      </c>
      <c r="D59" t="n">
        <v>2027</v>
      </c>
      <c r="E59" t="inlineStr">
        <is>
          <t>收入</t>
        </is>
      </c>
      <c r="F59" s="8" t="n">
        <v>25018.56</v>
      </c>
    </row>
    <row r="60">
      <c r="A60" t="inlineStr">
        <is>
          <t>GROUP</t>
        </is>
      </c>
      <c r="B60" t="inlineStr">
        <is>
          <t>零售产品</t>
        </is>
      </c>
      <c r="C60" t="inlineStr">
        <is>
          <t>新一线</t>
        </is>
      </c>
      <c r="D60" t="n">
        <v>2027</v>
      </c>
      <c r="E60" t="inlineStr">
        <is>
          <t>收入</t>
        </is>
      </c>
      <c r="F60" s="8" t="n">
        <v>20848.8</v>
      </c>
    </row>
    <row r="61">
      <c r="A61" t="inlineStr">
        <is>
          <t>GROUP</t>
        </is>
      </c>
      <c r="B61" t="inlineStr">
        <is>
          <t>零售产品</t>
        </is>
      </c>
      <c r="C61" t="inlineStr">
        <is>
          <t>二线及以下</t>
        </is>
      </c>
      <c r="D61" t="n">
        <v>2027</v>
      </c>
      <c r="E61" t="inlineStr">
        <is>
          <t>收入</t>
        </is>
      </c>
      <c r="F61" s="8" t="n">
        <v>18763.92</v>
      </c>
    </row>
    <row r="62">
      <c r="A62" t="inlineStr">
        <is>
          <t>GROUP</t>
        </is>
      </c>
      <c r="B62" t="inlineStr">
        <is>
          <t>零售产品</t>
        </is>
      </c>
      <c r="C62" t="inlineStr">
        <is>
          <t>海外</t>
        </is>
      </c>
      <c r="D62" t="n">
        <v>2027</v>
      </c>
      <c r="E62" t="inlineStr">
        <is>
          <t>收入</t>
        </is>
      </c>
      <c r="F62" s="8" t="n">
        <v>4864.72</v>
      </c>
    </row>
    <row r="63">
      <c r="A63" t="inlineStr">
        <is>
          <t>GROUP</t>
        </is>
      </c>
      <c r="B63" t="inlineStr">
        <is>
          <t>零售产品</t>
        </is>
      </c>
      <c r="C63" t="inlineStr">
        <is>
          <t>集团</t>
        </is>
      </c>
      <c r="D63" t="n">
        <v>2027</v>
      </c>
      <c r="E63" t="inlineStr">
        <is>
          <t>成本</t>
        </is>
      </c>
      <c r="F63" s="8" t="n">
        <v>42974.057778</v>
      </c>
    </row>
    <row r="64">
      <c r="A64" t="inlineStr">
        <is>
          <t>GROUP</t>
        </is>
      </c>
      <c r="B64" t="inlineStr">
        <is>
          <t>集团</t>
        </is>
      </c>
      <c r="C64" t="inlineStr">
        <is>
          <t>集团</t>
        </is>
      </c>
      <c r="D64" t="n">
        <v>2027</v>
      </c>
      <c r="E64" t="inlineStr">
        <is>
          <t>毛利</t>
        </is>
      </c>
      <c r="F64" s="8" t="n">
        <v>358046.22</v>
      </c>
    </row>
    <row r="65">
      <c r="A65" t="inlineStr">
        <is>
          <t>GROUP</t>
        </is>
      </c>
      <c r="B65" t="inlineStr">
        <is>
          <t>集团</t>
        </is>
      </c>
      <c r="C65" t="inlineStr">
        <is>
          <t>集团</t>
        </is>
      </c>
      <c r="D65" t="n">
        <v>2027</v>
      </c>
      <c r="E65" t="inlineStr">
        <is>
          <t>EBIT</t>
        </is>
      </c>
      <c r="F65" s="8" t="n">
        <v>297410.028</v>
      </c>
    </row>
    <row r="66">
      <c r="A66" t="inlineStr">
        <is>
          <t>GROUP</t>
        </is>
      </c>
      <c r="B66" t="inlineStr">
        <is>
          <t>集团</t>
        </is>
      </c>
      <c r="C66" t="inlineStr">
        <is>
          <t>集团</t>
        </is>
      </c>
      <c r="D66" t="n">
        <v>2027</v>
      </c>
      <c r="E66" t="inlineStr">
        <is>
          <t>净利润</t>
        </is>
      </c>
      <c r="F66" s="8" t="n">
        <v>223057.521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4" t="inlineStr">
        <is>
          <t>山雾咖啡 · 维度看板</t>
        </is>
      </c>
    </row>
    <row r="2">
      <c r="A2" s="2" t="inlineStr">
        <is>
          <t>黄格下拉：业务线 / 地区 / 期间（*=全部；期间列数字用 &gt;0 匹配全部）</t>
        </is>
      </c>
    </row>
    <row r="4">
      <c r="B4" s="5" t="inlineStr">
        <is>
          <t>业务线</t>
        </is>
      </c>
      <c r="C4" s="31" t="inlineStr">
        <is>
          <t>*</t>
        </is>
      </c>
      <c r="D4" s="5" t="inlineStr">
        <is>
          <t>地区</t>
        </is>
      </c>
      <c r="E4" s="31" t="inlineStr">
        <is>
          <t>*</t>
        </is>
      </c>
      <c r="F4" s="5" t="inlineStr">
        <is>
          <t>期间</t>
        </is>
      </c>
      <c r="G4" s="31" t="inlineStr">
        <is>
          <t>*</t>
        </is>
      </c>
      <c r="H4" s="2">
        <f>IF(G4="*","&gt;0",G4)</f>
        <v/>
      </c>
    </row>
    <row r="6">
      <c r="A6" s="5" t="inlineStr">
        <is>
          <t>营业收入</t>
        </is>
      </c>
      <c r="B6" s="8">
        <f>SUMIFS(FactTable!$F$2:$F$66,FactTable!$E$2:$E$66,"收入",FactTable!$B$2:$B$66,$C$4,FactTable!$C$2:$C$66,$E$4,FactTable!$D$2:$D$66,$H$4)</f>
        <v/>
      </c>
      <c r="C6" s="8">
        <f>SUMIFS(FactTable!$F$2:$F$66,FactTable!$E$2:$E$66,"收入",FactTable!$B$2:$B$66,$C$4,FactTable!$C$2:$C$66,$E$4,FactTable!$D$2:$D$66,$H$4)</f>
        <v/>
      </c>
      <c r="D6" s="8">
        <f>SUMIFS(FactTable!$F$2:$F$66,FactTable!$E$2:$E$66,"收入",FactTable!$B$2:$B$66,$C$4,FactTable!$C$2:$C$66,$E$4,FactTable!$D$2:$D$66,$H$4)</f>
        <v/>
      </c>
      <c r="E6" s="8">
        <f>SUMIFS(FactTable!$F$2:$F$66,FactTable!$E$2:$E$66,"收入",FactTable!$B$2:$B$66,$C$4,FactTable!$C$2:$C$66,$E$4,FactTable!$D$2:$D$66,$H$4)</f>
        <v/>
      </c>
      <c r="F6" s="8">
        <f>SUMIFS(FactTable!$F$2:$F$66,FactTable!$E$2:$E$66,"收入",FactTable!$B$2:$B$66,$C$4,FactTable!$C$2:$C$66,$E$4,FactTable!$D$2:$D$66,$H$4)</f>
        <v/>
      </c>
    </row>
    <row r="7">
      <c r="A7" s="4" t="inlineStr">
        <is>
          <t>营业成本</t>
        </is>
      </c>
      <c r="B7" s="8">
        <f>SUMIFS(FactTable!$F$2:$F$66,FactTable!$E$2:$E$66,"成本",FactTable!$B$2:$B$66,$C$4,FactTable!$C$2:$C$66,$E$4,FactTable!$D$2:$D$66,$H$4)</f>
        <v/>
      </c>
      <c r="C7" s="8">
        <f>SUMIFS(FactTable!$F$2:$F$66,FactTable!$E$2:$E$66,"成本",FactTable!$B$2:$B$66,$C$4,FactTable!$C$2:$C$66,$E$4,FactTable!$D$2:$D$66,$H$4)</f>
        <v/>
      </c>
      <c r="D7" s="8">
        <f>SUMIFS(FactTable!$F$2:$F$66,FactTable!$E$2:$E$66,"成本",FactTable!$B$2:$B$66,$C$4,FactTable!$C$2:$C$66,$E$4,FactTable!$D$2:$D$66,$H$4)</f>
        <v/>
      </c>
      <c r="E7" s="8">
        <f>SUMIFS(FactTable!$F$2:$F$66,FactTable!$E$2:$E$66,"成本",FactTable!$B$2:$B$66,$C$4,FactTable!$C$2:$C$66,$E$4,FactTable!$D$2:$D$66,$H$4)</f>
        <v/>
      </c>
      <c r="F7" s="8">
        <f>SUMIFS(FactTable!$F$2:$F$66,FactTable!$E$2:$E$66,"成本",FactTable!$B$2:$B$66,$C$4,FactTable!$C$2:$C$66,$E$4,FactTable!$D$2:$D$66,$H$4)</f>
        <v/>
      </c>
    </row>
    <row r="8">
      <c r="A8" s="4" t="inlineStr">
        <is>
          <t>毛利润</t>
        </is>
      </c>
      <c r="B8" s="8">
        <f>SUMIFS(FactTable!$F$2:$F$66,FactTable!$E$2:$E$66,"毛利",FactTable!$B$2:$B$66,$C$4,FactTable!$C$2:$C$66,$E$4,FactTable!$D$2:$D$66,$H$4)</f>
        <v/>
      </c>
      <c r="C8" s="8">
        <f>SUMIFS(FactTable!$F$2:$F$66,FactTable!$E$2:$E$66,"毛利",FactTable!$B$2:$B$66,$C$4,FactTable!$C$2:$C$66,$E$4,FactTable!$D$2:$D$66,$H$4)</f>
        <v/>
      </c>
      <c r="D8" s="8">
        <f>SUMIFS(FactTable!$F$2:$F$66,FactTable!$E$2:$E$66,"毛利",FactTable!$B$2:$B$66,$C$4,FactTable!$C$2:$C$66,$E$4,FactTable!$D$2:$D$66,$H$4)</f>
        <v/>
      </c>
      <c r="E8" s="8">
        <f>SUMIFS(FactTable!$F$2:$F$66,FactTable!$E$2:$E$66,"毛利",FactTable!$B$2:$B$66,$C$4,FactTable!$C$2:$C$66,$E$4,FactTable!$D$2:$D$66,$H$4)</f>
        <v/>
      </c>
      <c r="F8" s="8">
        <f>SUMIFS(FactTable!$F$2:$F$66,FactTable!$E$2:$E$66,"毛利",FactTable!$B$2:$B$66,$C$4,FactTable!$C$2:$C$66,$E$4,FactTable!$D$2:$D$66,$H$4)</f>
        <v/>
      </c>
    </row>
    <row r="9">
      <c r="A9" s="4" t="inlineStr">
        <is>
          <t>EBIT</t>
        </is>
      </c>
      <c r="B9" s="8">
        <f>SUMIFS(FactTable!$F$2:$F$66,FactTable!$E$2:$E$66,"EBIT",FactTable!$B$2:$B$66,$C$4,FactTable!$C$2:$C$66,$E$4,FactTable!$D$2:$D$66,$H$4)</f>
        <v/>
      </c>
      <c r="C9" s="8">
        <f>SUMIFS(FactTable!$F$2:$F$66,FactTable!$E$2:$E$66,"EBIT",FactTable!$B$2:$B$66,$C$4,FactTable!$C$2:$C$66,$E$4,FactTable!$D$2:$D$66,$H$4)</f>
        <v/>
      </c>
      <c r="D9" s="8">
        <f>SUMIFS(FactTable!$F$2:$F$66,FactTable!$E$2:$E$66,"EBIT",FactTable!$B$2:$B$66,$C$4,FactTable!$C$2:$C$66,$E$4,FactTable!$D$2:$D$66,$H$4)</f>
        <v/>
      </c>
      <c r="E9" s="8">
        <f>SUMIFS(FactTable!$F$2:$F$66,FactTable!$E$2:$E$66,"EBIT",FactTable!$B$2:$B$66,$C$4,FactTable!$C$2:$C$66,$E$4,FactTable!$D$2:$D$66,$H$4)</f>
        <v/>
      </c>
      <c r="F9" s="8">
        <f>SUMIFS(FactTable!$F$2:$F$66,FactTable!$E$2:$E$66,"EBIT",FactTable!$B$2:$B$66,$C$4,FactTable!$C$2:$C$66,$E$4,FactTable!$D$2:$D$66,$H$4)</f>
        <v/>
      </c>
    </row>
    <row r="10">
      <c r="A10" s="5" t="inlineStr">
        <is>
          <t>净利润</t>
        </is>
      </c>
      <c r="B10" s="8">
        <f>SUMIFS(FactTable!$F$2:$F$66,FactTable!$E$2:$E$66,"净利润",FactTable!$B$2:$B$66,$C$4,FactTable!$C$2:$C$66,$E$4,FactTable!$D$2:$D$66,$H$4)</f>
        <v/>
      </c>
      <c r="C10" s="8">
        <f>SUMIFS(FactTable!$F$2:$F$66,FactTable!$E$2:$E$66,"净利润",FactTable!$B$2:$B$66,$C$4,FactTable!$C$2:$C$66,$E$4,FactTable!$D$2:$D$66,$H$4)</f>
        <v/>
      </c>
      <c r="D10" s="8">
        <f>SUMIFS(FactTable!$F$2:$F$66,FactTable!$E$2:$E$66,"净利润",FactTable!$B$2:$B$66,$C$4,FactTable!$C$2:$C$66,$E$4,FactTable!$D$2:$D$66,$H$4)</f>
        <v/>
      </c>
      <c r="E10" s="8">
        <f>SUMIFS(FactTable!$F$2:$F$66,FactTable!$E$2:$E$66,"净利润",FactTable!$B$2:$B$66,$C$4,FactTable!$C$2:$C$66,$E$4,FactTable!$D$2:$D$66,$H$4)</f>
        <v/>
      </c>
      <c r="F10" s="8">
        <f>SUMIFS(FactTable!$F$2:$F$66,FactTable!$E$2:$E$66,"净利润",FactTable!$B$2:$B$66,$C$4,FactTable!$C$2:$C$66,$E$4,FactTable!$D$2:$D$66,$H$4)</f>
        <v/>
      </c>
    </row>
    <row r="11">
      <c r="A11" s="4" t="inlineStr">
        <is>
          <t>毛利率</t>
        </is>
      </c>
      <c r="B11" s="32">
        <f>IF(B6=0,0,B8/B6)</f>
        <v/>
      </c>
      <c r="C11" s="32">
        <f>IF(C6=0,0,C8/C6)</f>
        <v/>
      </c>
      <c r="D11" s="32">
        <f>IF(D6=0,0,D8/D6)</f>
        <v/>
      </c>
      <c r="E11" s="32">
        <f>IF(E6=0,0,E8/E6)</f>
        <v/>
      </c>
      <c r="F11" s="32">
        <f>IF(F6=0,0,F8/F6)</f>
        <v/>
      </c>
    </row>
    <row r="13">
      <c r="A13" s="5" t="inlineStr">
        <is>
          <t>★ 反查：SUMIFS全量 vs IS 收入</t>
        </is>
      </c>
    </row>
    <row r="14">
      <c r="B14" s="33">
        <f>SUMIFS(FactTable!$F$2:$F$66,FactTable!$E$2:$E$66,"收入",FactTable!$D$2:$D$66,2023)-IS!C6</f>
        <v/>
      </c>
      <c r="C14" s="33">
        <f>SUMIFS(FactTable!$F$2:$F$66,FactTable!$E$2:$E$66,"收入",FactTable!$D$2:$D$66,2024)-IS!D6</f>
        <v/>
      </c>
      <c r="D14" s="33">
        <f>SUMIFS(FactTable!$F$2:$F$66,FactTable!$E$2:$E$66,"收入",FactTable!$D$2:$D$66,2025)-IS!E6</f>
        <v/>
      </c>
      <c r="E14" s="33">
        <f>SUMIFS(FactTable!$F$2:$F$66,FactTable!$E$2:$E$66,"收入",FactTable!$D$2:$D$66,2026)-IS!F6</f>
        <v/>
      </c>
      <c r="F14" s="33">
        <f>SUMIFS(FactTable!$F$2:$F$66,FactTable!$E$2:$E$66,"收入",FactTable!$D$2:$D$66,2027)-IS!G6</f>
        <v/>
      </c>
    </row>
  </sheetData>
  <dataValidations count="3">
    <dataValidation sqref="C4" showDropDown="0" showInputMessage="0" showErrorMessage="0" allowBlank="0" type="list">
      <formula1>"*,现制饮品,零售产品"</formula1>
    </dataValidation>
    <dataValidation sqref="E4" showDropDown="0" showInputMessage="0" showErrorMessage="0" allowBlank="0" type="list">
      <formula1>"*,一线,新一线,二线及以下,海外"</formula1>
    </dataValidation>
    <dataValidation sqref="G4" showDropDown="0" showInputMessage="0" showErrorMessage="0" allowBlank="0" type="list">
      <formula1>"*,2023,2024,2025,2026,2027"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G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4" t="inlineStr">
        <is>
          <t>单位经济 · 单店模型</t>
        </is>
      </c>
    </row>
    <row r="2">
      <c r="A2" s="2" t="inlineStr">
        <is>
          <t>volume_price 模式的 UE = 单店 unit economics | 万元</t>
        </is>
      </c>
    </row>
    <row r="3">
      <c r="A3" s="5" t="inlineStr">
        <is>
          <t>科目（万元）</t>
        </is>
      </c>
      <c r="B3" s="5" t="inlineStr">
        <is>
          <t>备注</t>
        </is>
      </c>
      <c r="C3" s="15" t="n">
        <v>2023</v>
      </c>
      <c r="D3" s="15" t="n">
        <v>2024</v>
      </c>
      <c r="E3" s="15" t="n">
        <v>2025</v>
      </c>
      <c r="F3" s="16" t="n">
        <v>2026</v>
      </c>
      <c r="G3" s="16" t="n">
        <v>2027</v>
      </c>
    </row>
    <row r="4">
      <c r="A4" s="4" t="inlineStr">
        <is>
          <t>单店年收入</t>
        </is>
      </c>
      <c r="C4" s="26">
        <f>IS!C6/Assumptions!C5</f>
        <v/>
      </c>
      <c r="D4" s="26">
        <f>IS!D6/Assumptions!D5</f>
        <v/>
      </c>
      <c r="E4" s="26">
        <f>IS!E6/Assumptions!E5</f>
        <v/>
      </c>
      <c r="F4" s="26">
        <f>IS!F6/Assumptions!F5</f>
        <v/>
      </c>
      <c r="G4" s="26">
        <f>IS!G6/Assumptions!G5</f>
        <v/>
      </c>
    </row>
    <row r="5">
      <c r="A5" s="4" t="inlineStr">
        <is>
          <t>单店年毛利</t>
        </is>
      </c>
      <c r="B5" s="2" t="inlineStr">
        <is>
          <t>扣除原料+门店运营（未扣折旧）</t>
        </is>
      </c>
      <c r="C5" s="26">
        <f>(IS!C6-IS!C8-IS!C7)/Assumptions!C5</f>
        <v/>
      </c>
      <c r="D5" s="26">
        <f>(IS!D6-IS!D8-IS!D7)/Assumptions!D5</f>
        <v/>
      </c>
      <c r="E5" s="26">
        <f>(IS!E6-IS!E8-IS!E7)/Assumptions!E5</f>
        <v/>
      </c>
      <c r="F5" s="26">
        <f>(IS!F6-IS!F8-IS!F7)/Assumptions!F5</f>
        <v/>
      </c>
      <c r="G5" s="26">
        <f>(IS!G6-IS!G8-IS!G7)/Assumptions!G5</f>
        <v/>
      </c>
    </row>
    <row r="6">
      <c r="A6" s="5" t="inlineStr">
        <is>
          <t>单店回本期（月）</t>
        </is>
      </c>
      <c r="B6" s="2" t="inlineStr">
        <is>
          <t>投入45万 ÷ 月毛利</t>
        </is>
      </c>
      <c r="C6" s="34">
        <f>Assumptions!C20/(UE!C5/12)</f>
        <v/>
      </c>
      <c r="D6" s="34">
        <f>Assumptions!D20/(UE!D5/12)</f>
        <v/>
      </c>
      <c r="E6" s="34">
        <f>Assumptions!E20/(UE!E5/12)</f>
        <v/>
      </c>
      <c r="F6" s="34">
        <f>Assumptions!F20/(UE!F5/12)</f>
        <v/>
      </c>
      <c r="G6" s="34">
        <f>Assumptions!G20/(UE!G5/12)</f>
        <v/>
      </c>
    </row>
    <row r="7">
      <c r="A7" s="4" t="inlineStr">
        <is>
          <t>同店增速（收入/店）</t>
        </is>
      </c>
      <c r="B7" s="2" t="inlineStr">
        <is>
          <t>量价拆分的增长质量</t>
        </is>
      </c>
      <c r="C7" s="35">
        <f>0</f>
        <v/>
      </c>
      <c r="D7" s="35">
        <f>UE!D4/UE!C4-1</f>
        <v/>
      </c>
      <c r="E7" s="35">
        <f>UE!E4/UE!D4-1</f>
        <v/>
      </c>
      <c r="F7" s="35">
        <f>UE!F4/UE!E4-1</f>
        <v/>
      </c>
      <c r="G7" s="35">
        <f>UE!G4/UE!F4-1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0000"/>
    <outlinePr summaryBelow="1" summaryRight="1"/>
    <pageSetUpPr/>
  </sheetPr>
  <dimension ref="A1:I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2" customWidth="1" min="9" max="9"/>
  </cols>
  <sheetData>
    <row r="1">
      <c r="A1" s="14" t="inlineStr">
        <is>
          <t>勾稽自检面板</t>
        </is>
      </c>
    </row>
    <row r="2">
      <c r="A2" s="2" t="inlineStr">
        <is>
          <t>全公式实时链接 | 红灯即不可交付</t>
        </is>
      </c>
    </row>
    <row r="3">
      <c r="A3" s="5" t="inlineStr">
        <is>
          <t>科目（万元）</t>
        </is>
      </c>
      <c r="B3" s="5" t="inlineStr">
        <is>
          <t>备注</t>
        </is>
      </c>
      <c r="C3" s="15" t="n">
        <v>2023</v>
      </c>
      <c r="D3" s="15" t="n">
        <v>2024</v>
      </c>
      <c r="E3" s="15" t="n">
        <v>2025</v>
      </c>
      <c r="F3" s="16" t="n">
        <v>2026</v>
      </c>
      <c r="G3" s="16" t="n">
        <v>2027</v>
      </c>
    </row>
    <row r="4">
      <c r="A4" s="4" t="inlineStr">
        <is>
          <t>C1 BS 平衡（资产−负债−权益）</t>
        </is>
      </c>
      <c r="C4" s="30">
        <f>BS!C16</f>
        <v/>
      </c>
      <c r="D4" s="30">
        <f>BS!D16</f>
        <v/>
      </c>
      <c r="E4" s="30">
        <f>BS!E16</f>
        <v/>
      </c>
      <c r="F4" s="30">
        <f>BS!F16</f>
        <v/>
      </c>
      <c r="G4" s="30">
        <f>BS!G16</f>
        <v/>
      </c>
      <c r="I4" s="5">
        <f>IF(AND(ABS(C4)&lt;0.01,ABS(D4)&lt;0.01,ABS(E4)&lt;0.01,ABS(F4)&lt;0.01,ABS(G4)&lt;0.01),"✅ PASS","❌ FAIL")</f>
        <v/>
      </c>
    </row>
    <row r="5">
      <c r="A5" s="4" t="inlineStr">
        <is>
          <t>C2 CF=BS 现金</t>
        </is>
      </c>
      <c r="C5" s="30">
        <f>CF!C16</f>
        <v/>
      </c>
      <c r="D5" s="30">
        <f>CF!D16</f>
        <v/>
      </c>
      <c r="E5" s="30">
        <f>CF!E16</f>
        <v/>
      </c>
      <c r="F5" s="30">
        <f>CF!F16</f>
        <v/>
      </c>
      <c r="G5" s="30">
        <f>CF!G16</f>
        <v/>
      </c>
      <c r="I5" s="5">
        <f>IF(AND(ABS(C5)&lt;0.01,ABS(D5)&lt;0.01,ABS(E5)&lt;0.01,ABS(F5)&lt;0.01,ABS(G5)&lt;0.01),"✅ PASS","❌ FAIL")</f>
        <v/>
      </c>
    </row>
    <row r="6">
      <c r="A6" s="4" t="inlineStr">
        <is>
          <t>C3 FactTable 反查 vs IS 收入</t>
        </is>
      </c>
      <c r="B6" s="2" t="inlineStr">
        <is>
          <t>SUMIFS 全量 = IS 公式值</t>
        </is>
      </c>
      <c r="C6" s="30">
        <f>SUMIFS(FactTable!$F$2:$F$66,FactTable!$E$2:$E$66,"收入",FactTable!$D$2:$D$66,2023)-IS!C6</f>
        <v/>
      </c>
      <c r="D6" s="30">
        <f>SUMIFS(FactTable!$F$2:$F$66,FactTable!$E$2:$E$66,"收入",FactTable!$D$2:$D$66,2024)-IS!D6</f>
        <v/>
      </c>
      <c r="E6" s="30">
        <f>SUMIFS(FactTable!$F$2:$F$66,FactTable!$E$2:$E$66,"收入",FactTable!$D$2:$D$66,2025)-IS!E6</f>
        <v/>
      </c>
      <c r="F6" s="30">
        <f>SUMIFS(FactTable!$F$2:$F$66,FactTable!$E$2:$E$66,"收入",FactTable!$D$2:$D$66,2026)-IS!F6</f>
        <v/>
      </c>
      <c r="G6" s="30">
        <f>SUMIFS(FactTable!$F$2:$F$66,FactTable!$E$2:$E$66,"收入",FactTable!$D$2:$D$66,2027)-IS!G6</f>
        <v/>
      </c>
      <c r="I6" s="5">
        <f>IF(AND(ABS(C6)&lt;0.01,ABS(D6)&lt;0.01,ABS(E6)&lt;0.01,ABS(F6)&lt;0.01,ABS(G6)&lt;0.01),"✅ PASS","❌ FAIL")</f>
        <v/>
      </c>
    </row>
    <row r="7">
      <c r="A7" s="4" t="inlineStr">
        <is>
          <t>C4 RE 滚动</t>
        </is>
      </c>
      <c r="C7" s="30">
        <f>BS!C11-20000.0-IS!C18</f>
        <v/>
      </c>
      <c r="D7" s="30">
        <f>BS!D11-BS!C11-IS!D18</f>
        <v/>
      </c>
      <c r="E7" s="30">
        <f>BS!E11-BS!D11-IS!E18</f>
        <v/>
      </c>
      <c r="F7" s="30">
        <f>BS!F11-BS!E11-IS!F18</f>
        <v/>
      </c>
      <c r="G7" s="30">
        <f>BS!G11-BS!F11-IS!G18</f>
        <v/>
      </c>
      <c r="I7" s="5">
        <f>IF(AND(ABS(C7)&lt;0.01,ABS(D7)&lt;0.01,ABS(E7)&lt;0.01,ABS(F7)&lt;0.01,ABS(G7)&lt;0.01),"✅ PASS","❌ FAIL")</f>
        <v/>
      </c>
    </row>
    <row r="9">
      <c r="A9" s="36" t="inlineStr">
        <is>
          <t>总检灯</t>
        </is>
      </c>
      <c r="C9" s="36">
        <f>IF(COUNTIF(I4:I7,"✅ PASS")=4,"🟢 全部通过","🔴 存在失败")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70C0"/>
    <outlinePr summaryBelow="1" summaryRight="1"/>
    <pageSetUpPr/>
  </sheetPr>
  <dimension ref="A1:G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</cols>
  <sheetData>
    <row r="1">
      <c r="A1" s="14" t="inlineStr">
        <is>
          <t>参数校准 · 真实数据源管道</t>
        </is>
      </c>
    </row>
    <row r="2">
      <c r="A2" s="2" t="inlineStr">
        <is>
          <t>tsdata·A股连锁餐饮可比（广州酒家/同庆楼/全聚德/佳禾食品 2022-2023 年报）</t>
        </is>
      </c>
    </row>
    <row r="3">
      <c r="A3" s="5" t="inlineStr">
        <is>
          <t>科目（万元）</t>
        </is>
      </c>
      <c r="B3" s="5" t="inlineStr">
        <is>
          <t>备注</t>
        </is>
      </c>
      <c r="C3" s="15" t="n">
        <v>2023</v>
      </c>
      <c r="D3" s="15" t="n">
        <v>2024</v>
      </c>
      <c r="E3" s="15" t="n">
        <v>2025</v>
      </c>
      <c r="F3" s="16" t="n">
        <v>2026</v>
      </c>
      <c r="G3" s="16" t="n">
        <v>2027</v>
      </c>
    </row>
    <row r="4">
      <c r="A4" s="10" t="inlineStr">
        <is>
          <t>参数</t>
        </is>
      </c>
      <c r="B4" s="10" t="inlineStr">
        <is>
          <t>原假设(先验)</t>
        </is>
      </c>
      <c r="C4" s="10" t="inlineStr">
        <is>
          <t>真实区间</t>
        </is>
      </c>
      <c r="D4" s="10" t="inlineStr">
        <is>
          <t>校准值</t>
        </is>
      </c>
      <c r="E4" s="10" t="inlineStr">
        <is>
          <t>来源</t>
        </is>
      </c>
      <c r="F4" s="10" t="inlineStr">
        <is>
          <t>偏差解释</t>
        </is>
      </c>
    </row>
    <row r="5">
      <c r="A5" s="4" t="inlineStr">
        <is>
          <t>原料成本率 COGS_RATE</t>
        </is>
      </c>
      <c r="B5" s="4" t="inlineStr">
        <is>
          <t>0.33→0.30</t>
        </is>
      </c>
      <c r="C5" s="4" t="inlineStr">
        <is>
          <t>可比毛利率 18-36%（中位18.2%）</t>
        </is>
      </c>
      <c r="D5" s="37" t="inlineStr">
        <is>
          <t>0.33→0.305</t>
        </is>
      </c>
      <c r="E5" s="18" t="inlineStr">
        <is>
          <t>tsdata·A股餐饮校准</t>
        </is>
      </c>
      <c r="F5" s="4" t="inlineStr">
        <is>
          <t>现制咖啡外带小店结构优于堂食可比，取区间上部</t>
        </is>
      </c>
    </row>
    <row r="6">
      <c r="A6" s="4" t="inlineStr">
        <is>
          <t>单店月运营 STORE_OPEX_M</t>
        </is>
      </c>
      <c r="B6" s="4" t="inlineStr">
        <is>
          <t>6.8→7.4 万</t>
        </is>
      </c>
      <c r="C6" s="4" t="inlineStr">
        <is>
          <t>人工租金通胀（可比销售费用率中位4.3%）</t>
        </is>
      </c>
      <c r="D6" s="37" t="inlineStr">
        <is>
          <t>6.8→8.0 万</t>
        </is>
      </c>
      <c r="E6" s="18" t="inlineStr">
        <is>
          <t>tsdata·A股餐饮校准</t>
        </is>
      </c>
      <c r="F6" s="4" t="inlineStr">
        <is>
          <t>原假设通胀不足，上调</t>
        </is>
      </c>
    </row>
    <row r="7">
      <c r="A7" s="4" t="inlineStr">
        <is>
          <t>营销费率 MKT_RATE</t>
        </is>
      </c>
      <c r="B7" s="4" t="inlineStr">
        <is>
          <t>9%→6%</t>
        </is>
      </c>
      <c r="C7" s="4" t="inlineStr">
        <is>
          <t>可比销售费用率 2.8-10.7%（中位4.3%）</t>
        </is>
      </c>
      <c r="D7" s="37" t="inlineStr">
        <is>
          <t>8.5%→5.2%</t>
        </is>
      </c>
      <c r="E7" s="18" t="inlineStr">
        <is>
          <t>tsdata·A股餐饮校准</t>
        </is>
      </c>
      <c r="F7" s="4" t="inlineStr">
        <is>
          <t>咖啡补贴期叙事保留上部，退坡加快</t>
        </is>
      </c>
    </row>
    <row r="8">
      <c r="A8" s="4" t="inlineStr">
        <is>
          <t>净利率（结果校验）</t>
        </is>
      </c>
      <c r="B8" s="4" t="inlineStr">
        <is>
          <t>原模型2027E≈25%</t>
        </is>
      </c>
      <c r="C8" s="4" t="inlineStr">
        <is>
          <t>可比净利率 4-13%（中位7.3%）</t>
        </is>
      </c>
      <c r="D8" s="37" t="inlineStr">
        <is>
          <t>校准后≈22%</t>
        </is>
      </c>
      <c r="E8" s="18" t="inlineStr">
        <is>
          <t>对照校验</t>
        </is>
      </c>
      <c r="F8" s="4" t="inlineStr">
        <is>
          <t>仍高于可比：直营咖啡单店模型差异，明示而非隐藏</t>
        </is>
      </c>
    </row>
    <row r="9">
      <c r="A9" s="4" t="inlineStr">
        <is>
          <t>门店数/杯量/客单</t>
        </is>
      </c>
      <c r="B9" s="4" t="inlineStr">
        <is>
          <t>先验假设</t>
        </is>
      </c>
      <c r="C9" s="4" t="inlineStr">
        <is>
          <t>A股无纯咖啡可比（瑞幸在美/粉单）</t>
        </is>
      </c>
      <c r="D9" s="37" t="inlineStr">
        <is>
          <t>保留先验</t>
        </is>
      </c>
      <c r="E9" s="18" t="inlineStr">
        <is>
          <t>低置信度假设</t>
        </is>
      </c>
      <c r="F9" s="4" t="inlineStr">
        <is>
          <t>降级链走到可比公司环，参数级差异大，如实标注</t>
        </is>
      </c>
    </row>
    <row r="11">
      <c r="A11" s="2" t="inlineStr">
        <is>
          <t>管道：tsdata.get_pro().income() → 年报口径毛利率/费用率 → 区间对照 → 参数修正 → Meta source 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2026-08-29T10:01:13Z</dcterms:created>
  <dcterms:modified xsi:type="dcterms:W3CDTF">2026-08-29T10:01:13Z</dcterms:modified>
</cp:coreProperties>
</file>